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83935\AppData\Local\Microsoft\Windows\INetCache\Content.Outlook\WZQPE24O\"/>
    </mc:Choice>
  </mc:AlternateContent>
  <xr:revisionPtr revIDLastSave="0" documentId="13_ncr:1_{539DC362-EBA4-40CC-8D54-52645342702A}" xr6:coauthVersionLast="47" xr6:coauthVersionMax="47" xr10:uidLastSave="{00000000-0000-0000-0000-000000000000}"/>
  <bookViews>
    <workbookView xWindow="1905" yWindow="2730" windowWidth="21600" windowHeight="11235" xr2:uid="{AF7DD82B-7C41-4369-AF28-293CE3335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B20" i="1"/>
  <c r="D19" i="1"/>
  <c r="E19" i="1" s="1"/>
  <c r="E20" i="1" s="1"/>
  <c r="D20" i="1" l="1"/>
  <c r="C11" i="1" l="1"/>
  <c r="C22" i="1" s="1"/>
  <c r="D11" i="1"/>
  <c r="D22" i="1" s="1"/>
  <c r="E11" i="1"/>
  <c r="E22" i="1" s="1"/>
  <c r="B11" i="1"/>
</calcChain>
</file>

<file path=xl/sharedStrings.xml><?xml version="1.0" encoding="utf-8"?>
<sst xmlns="http://schemas.openxmlformats.org/spreadsheetml/2006/main" count="48" uniqueCount="44">
  <si>
    <t>2Day</t>
  </si>
  <si>
    <t>Express Saver</t>
  </si>
  <si>
    <t>Standard Overnight</t>
  </si>
  <si>
    <t>Priority Overnight</t>
  </si>
  <si>
    <t>2Day A.M.</t>
  </si>
  <si>
    <t>Ground</t>
  </si>
  <si>
    <t>Home Delivery</t>
  </si>
  <si>
    <t>Ground Deferred</t>
  </si>
  <si>
    <t>Est Difference</t>
  </si>
  <si>
    <t>Oversize - Ground</t>
  </si>
  <si>
    <t>Oversize - Home Delivery</t>
  </si>
  <si>
    <t>Est Ground Fuel</t>
  </si>
  <si>
    <t>GR DAS - Commercial</t>
  </si>
  <si>
    <t>GR DAS - Extended Commercial</t>
  </si>
  <si>
    <t>GR -DAS - Remote Commercial</t>
  </si>
  <si>
    <t>Count</t>
  </si>
  <si>
    <t>Occurrences</t>
  </si>
  <si>
    <t>Est Current</t>
  </si>
  <si>
    <t>Est Proposed</t>
  </si>
  <si>
    <t>Surcharge</t>
  </si>
  <si>
    <t>Service</t>
  </si>
  <si>
    <t>January - December 2025</t>
  </si>
  <si>
    <t>Est Total</t>
  </si>
  <si>
    <t>Est Overall</t>
  </si>
  <si>
    <t>All net rates and analysis presented herein are for customer convenience and information only.  Actual net rates will vary for reasons including,</t>
  </si>
  <si>
    <t>but not limited to, rounding and additional fees, charges and surcharges which may apply depending upon the services being provided.</t>
  </si>
  <si>
    <t>The actual net rates applicable to the services will be made a part of the negotiated agreement entered into between the parties</t>
  </si>
  <si>
    <t>FedEx does not guarantee financial outcomes predicted by this simplified analysis.</t>
  </si>
  <si>
    <t>This exercise is provided as an example, actual results may vary.</t>
  </si>
  <si>
    <t>NOTE: The net rates presented herein are for your convenience only and are not legally binding until the respective agreement is finalized and fully implemented.</t>
  </si>
  <si>
    <t>Actual net rates may vary due to reasons, including, but not limited to changes in customer's shipping pattern, passage of time between verbal and final agreements,</t>
  </si>
  <si>
    <t>and additional pricing features not captured in the calculations for the net rates presented herein.  Please review your agreement for complete details or contact your</t>
  </si>
  <si>
    <t>Account Manager for more information.</t>
  </si>
  <si>
    <t xml:space="preserve">**NOTICE**                                                                </t>
  </si>
  <si>
    <t xml:space="preserve">CUSTOMER AGREES THIS REPORT CONTAINS FEDEX CONFIDENTIAL AND/OR PRIVILEGED </t>
  </si>
  <si>
    <t xml:space="preserve">INFORMATION.  THE INTENT OF THE REPORT IS TO ALLOW THE CUSTOMER ACCESS TO </t>
  </si>
  <si>
    <t xml:space="preserve">INFORMATION SOLELY FOR INTERNAL ANALYSIS OF TRENDS IN SHIPPING/INVOICE </t>
  </si>
  <si>
    <t xml:space="preserve">ACTIVITY WITH FEDEX.  THIS INFORMATION IS BEING PROVIDED TO THE CUSTOMER </t>
  </si>
  <si>
    <t xml:space="preserve">FOR EXCLUSIVE USE AND BENEFIT OF THE CUSTOMER AND IS PROVIDED SUBJECT TO </t>
  </si>
  <si>
    <t xml:space="preserve">TERMS OF OUR MUTUAL CONFIDENTIALITY AGREEMENT.  THE INFORMATION MAY NOT BE </t>
  </si>
  <si>
    <t xml:space="preserve">SHARED WITH ANY THIRD PARTY WITHOUT FEDEX’S WRITTEN CONSENT.  THIS </t>
  </si>
  <si>
    <t xml:space="preserve">INFORMATION CANNOT BE USED TO FILE CLAIMS OR REQUEST REFUNDS OR INVOICE </t>
  </si>
  <si>
    <t xml:space="preserve">ADJUSTMENTS.                                                                       </t>
  </si>
  <si>
    <t>**This estimated analysis is based off net rates  - only listed surcharges are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</si>
</sst>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/>
    <xf numFmtId="0" fontId="1" fillId="3" borderId="4" xfId="0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3" fontId="2" fillId="5" borderId="10" xfId="0" applyNumberFormat="1" applyFont="1" applyFill="1" applyBorder="1" applyAlignment="1">
      <alignment horizontal="center" vertical="center"/>
    </xf>
    <xf numFmtId="164" fontId="2" fillId="5" borderId="10" xfId="0" applyNumberFormat="1" applyFont="1" applyFill="1" applyBorder="1" applyAlignment="1">
      <alignment horizontal="center" vertical="center"/>
    </xf>
    <xf numFmtId="164" fontId="2" fillId="5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3" fontId="1" fillId="3" borderId="10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2" borderId="12" xfId="0" applyNumberForma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AFC2-3F79-4871-BC82-A5ABDCD1FD9B}">
  <dimension ref="A1:M46"/>
  <sheetViews>
    <sheetView showGridLines="0" tabSelected="1" topLeftCell="A6" workbookViewId="0">
      <selection activeCell="A15" sqref="A15"/>
    </sheetView>
  </sheetViews>
  <sheetFormatPr defaultRowHeight="15" x14ac:dyDescent="0.25"/>
  <cols>
    <col min="1" max="1" width="25.7109375" style="15" customWidth="1"/>
    <col min="2" max="2" width="14.85546875" style="7" customWidth="1"/>
    <col min="3" max="5" width="16.28515625" style="8" customWidth="1"/>
    <col min="9" max="10" width="11.140625" style="1" bestFit="1" customWidth="1"/>
    <col min="11" max="11" width="10.7109375" style="1" bestFit="1" customWidth="1"/>
  </cols>
  <sheetData>
    <row r="1" spans="1:11" ht="18.75" x14ac:dyDescent="0.25">
      <c r="A1" s="28" t="s">
        <v>21</v>
      </c>
      <c r="B1" s="29"/>
      <c r="C1" s="29"/>
      <c r="D1" s="29"/>
      <c r="E1" s="30"/>
    </row>
    <row r="2" spans="1:11" ht="15.75" thickBot="1" x14ac:dyDescent="0.3">
      <c r="A2" s="2" t="s">
        <v>20</v>
      </c>
      <c r="B2" s="3" t="s">
        <v>15</v>
      </c>
      <c r="C2" s="4" t="s">
        <v>17</v>
      </c>
      <c r="D2" s="4" t="s">
        <v>18</v>
      </c>
      <c r="E2" s="5" t="s">
        <v>8</v>
      </c>
    </row>
    <row r="3" spans="1:11" x14ac:dyDescent="0.25">
      <c r="A3" s="6" t="s">
        <v>3</v>
      </c>
      <c r="B3" s="7">
        <v>73</v>
      </c>
      <c r="C3" s="8">
        <v>8876.5600000000031</v>
      </c>
      <c r="D3" s="8">
        <v>6045.5</v>
      </c>
      <c r="E3" s="9">
        <v>-2831.0600000000031</v>
      </c>
    </row>
    <row r="4" spans="1:11" x14ac:dyDescent="0.25">
      <c r="A4" s="10" t="s">
        <v>2</v>
      </c>
      <c r="B4" s="7">
        <v>28</v>
      </c>
      <c r="C4" s="8">
        <v>2428.4400000000005</v>
      </c>
      <c r="D4" s="8">
        <v>1694.9700000000003</v>
      </c>
      <c r="E4" s="9">
        <v>-733.47000000000025</v>
      </c>
    </row>
    <row r="5" spans="1:11" x14ac:dyDescent="0.25">
      <c r="A5" s="10" t="s">
        <v>4</v>
      </c>
      <c r="B5" s="7">
        <v>14</v>
      </c>
      <c r="C5" s="8">
        <v>1512.6200000000001</v>
      </c>
      <c r="D5" s="8">
        <v>1094.67</v>
      </c>
      <c r="E5" s="9">
        <v>-417.95000000000005</v>
      </c>
    </row>
    <row r="6" spans="1:11" x14ac:dyDescent="0.25">
      <c r="A6" s="10" t="s">
        <v>0</v>
      </c>
      <c r="B6" s="7">
        <v>361</v>
      </c>
      <c r="C6" s="8">
        <v>23995.350000000006</v>
      </c>
      <c r="D6" s="8">
        <v>17229.320000000007</v>
      </c>
      <c r="E6" s="9">
        <v>-6766.0299999999988</v>
      </c>
    </row>
    <row r="7" spans="1:11" x14ac:dyDescent="0.25">
      <c r="A7" s="10" t="s">
        <v>1</v>
      </c>
      <c r="B7" s="7">
        <v>7</v>
      </c>
      <c r="C7" s="8">
        <v>290.7</v>
      </c>
      <c r="D7" s="8">
        <v>215.48000000000002</v>
      </c>
      <c r="E7" s="9">
        <v>-75.21999999999997</v>
      </c>
    </row>
    <row r="8" spans="1:11" x14ac:dyDescent="0.25">
      <c r="A8" s="10" t="s">
        <v>5</v>
      </c>
      <c r="B8" s="7">
        <v>1470</v>
      </c>
      <c r="C8" s="8">
        <v>18226.990000000009</v>
      </c>
      <c r="D8" s="8">
        <v>11059.959999999997</v>
      </c>
      <c r="E8" s="9">
        <v>-7167.0300000000116</v>
      </c>
    </row>
    <row r="9" spans="1:11" x14ac:dyDescent="0.25">
      <c r="A9" s="10" t="s">
        <v>6</v>
      </c>
      <c r="B9" s="7">
        <v>167494</v>
      </c>
      <c r="C9" s="8">
        <v>2250808.3000000012</v>
      </c>
      <c r="D9" s="8">
        <v>1332242.1600000004</v>
      </c>
      <c r="E9" s="9">
        <v>-918566.14000000083</v>
      </c>
    </row>
    <row r="10" spans="1:11" ht="15.75" thickBot="1" x14ac:dyDescent="0.3">
      <c r="A10" s="10" t="s">
        <v>7</v>
      </c>
      <c r="B10" s="7">
        <v>942</v>
      </c>
      <c r="C10" s="8">
        <v>78193.889999999985</v>
      </c>
      <c r="D10" s="8">
        <v>73314.280000000013</v>
      </c>
      <c r="E10" s="9">
        <v>-4879.6099999999715</v>
      </c>
    </row>
    <row r="11" spans="1:11" ht="15.75" thickBot="1" x14ac:dyDescent="0.3">
      <c r="A11" s="11" t="s">
        <v>22</v>
      </c>
      <c r="B11" s="12">
        <f>SUM(B3:B10)</f>
        <v>170389</v>
      </c>
      <c r="C11" s="13">
        <f t="shared" ref="C11:E11" si="0">SUM(C3:C10)</f>
        <v>2384332.8500000015</v>
      </c>
      <c r="D11" s="13">
        <f t="shared" si="0"/>
        <v>1442896.3400000003</v>
      </c>
      <c r="E11" s="14">
        <f t="shared" si="0"/>
        <v>-941436.51000000082</v>
      </c>
    </row>
    <row r="12" spans="1:11" ht="15.75" thickBot="1" x14ac:dyDescent="0.3"/>
    <row r="13" spans="1:11" ht="15.75" thickBot="1" x14ac:dyDescent="0.3">
      <c r="A13" s="16" t="s">
        <v>19</v>
      </c>
      <c r="B13" s="17" t="s">
        <v>16</v>
      </c>
      <c r="C13" s="18" t="s">
        <v>17</v>
      </c>
      <c r="D13" s="18" t="s">
        <v>18</v>
      </c>
      <c r="E13" s="19" t="s">
        <v>8</v>
      </c>
    </row>
    <row r="14" spans="1:11" x14ac:dyDescent="0.25">
      <c r="A14" s="6" t="s">
        <v>9</v>
      </c>
      <c r="B14" s="7">
        <v>22</v>
      </c>
      <c r="C14" s="8">
        <v>2876.7</v>
      </c>
      <c r="D14" s="8">
        <v>1672.5</v>
      </c>
      <c r="E14" s="9">
        <v>-1204.1999999999998</v>
      </c>
      <c r="I14"/>
      <c r="J14"/>
      <c r="K14"/>
    </row>
    <row r="15" spans="1:11" x14ac:dyDescent="0.25">
      <c r="A15" s="33" t="s">
        <v>10</v>
      </c>
      <c r="B15" s="7">
        <v>504</v>
      </c>
      <c r="C15" s="8">
        <v>66146.899999999994</v>
      </c>
      <c r="D15" s="8">
        <v>38457.5</v>
      </c>
      <c r="E15" s="32">
        <v>-27689.399999999994</v>
      </c>
      <c r="I15"/>
      <c r="J15"/>
      <c r="K15"/>
    </row>
    <row r="16" spans="1:11" x14ac:dyDescent="0.25">
      <c r="A16" s="10" t="s">
        <v>12</v>
      </c>
      <c r="B16" s="7">
        <v>25</v>
      </c>
      <c r="C16" s="8">
        <v>55.75</v>
      </c>
      <c r="D16" s="8">
        <v>39</v>
      </c>
      <c r="E16" s="9">
        <v>-16.75</v>
      </c>
      <c r="I16"/>
      <c r="J16"/>
      <c r="K16"/>
    </row>
    <row r="17" spans="1:13" x14ac:dyDescent="0.25">
      <c r="A17" s="10" t="s">
        <v>13</v>
      </c>
      <c r="B17" s="7">
        <v>8</v>
      </c>
      <c r="C17" s="8">
        <v>22.24</v>
      </c>
      <c r="D17" s="8">
        <v>15.52</v>
      </c>
      <c r="E17" s="9">
        <v>-6.7199999999999989</v>
      </c>
      <c r="I17"/>
      <c r="J17"/>
      <c r="K17"/>
    </row>
    <row r="18" spans="1:13" x14ac:dyDescent="0.25">
      <c r="A18" s="10" t="s">
        <v>14</v>
      </c>
      <c r="B18" s="7">
        <v>1</v>
      </c>
      <c r="C18" s="8">
        <v>8.3800000000000008</v>
      </c>
      <c r="D18" s="8">
        <v>5.86</v>
      </c>
      <c r="E18" s="9">
        <v>-2.5200000000000005</v>
      </c>
      <c r="I18"/>
      <c r="J18"/>
      <c r="K18"/>
    </row>
    <row r="19" spans="1:13" ht="15.75" thickBot="1" x14ac:dyDescent="0.3">
      <c r="A19" s="10" t="s">
        <v>11</v>
      </c>
      <c r="B19" s="7">
        <v>293892</v>
      </c>
      <c r="C19" s="8">
        <v>537389.44000000006</v>
      </c>
      <c r="D19" s="8">
        <f>C19*(1-0.05)</f>
        <v>510519.96800000005</v>
      </c>
      <c r="E19" s="9">
        <f>D19-C19</f>
        <v>-26869.472000000009</v>
      </c>
      <c r="I19"/>
      <c r="J19"/>
      <c r="K19"/>
    </row>
    <row r="20" spans="1:13" ht="15.75" thickBot="1" x14ac:dyDescent="0.3">
      <c r="A20" s="11" t="s">
        <v>22</v>
      </c>
      <c r="B20" s="12">
        <f>SUM(B14:B19)</f>
        <v>294452</v>
      </c>
      <c r="C20" s="13">
        <f>SUM(C14:C19)</f>
        <v>606499.41</v>
      </c>
      <c r="D20" s="13">
        <f>SUM(D14:D19)</f>
        <v>550710.348</v>
      </c>
      <c r="E20" s="14">
        <f>SUM(E14:E19)</f>
        <v>-55789.062000000005</v>
      </c>
    </row>
    <row r="21" spans="1:13" ht="15.75" thickBot="1" x14ac:dyDescent="0.3"/>
    <row r="22" spans="1:13" ht="15.75" thickBot="1" x14ac:dyDescent="0.3">
      <c r="B22" s="20" t="s">
        <v>23</v>
      </c>
      <c r="C22" s="21">
        <f>C20+C11</f>
        <v>2990832.2600000016</v>
      </c>
      <c r="D22" s="21">
        <f>D20+D11</f>
        <v>1993606.6880000003</v>
      </c>
      <c r="E22" s="22">
        <f>E20+E11</f>
        <v>-997225.57200000086</v>
      </c>
    </row>
    <row r="24" spans="1:13" s="24" customFormat="1" x14ac:dyDescent="0.25">
      <c r="A24" s="31" t="s">
        <v>24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3" s="24" customFormat="1" x14ac:dyDescent="0.25">
      <c r="A25" s="23" t="s">
        <v>25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</row>
    <row r="26" spans="1:13" s="24" customFormat="1" x14ac:dyDescent="0.25">
      <c r="A26" s="23" t="s">
        <v>26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s="24" customFormat="1" x14ac:dyDescent="0.25">
      <c r="A27" s="23"/>
    </row>
    <row r="28" spans="1:13" s="24" customFormat="1" x14ac:dyDescent="0.25">
      <c r="A28" s="31" t="s">
        <v>27</v>
      </c>
      <c r="B28" s="31"/>
      <c r="C28" s="31"/>
      <c r="D28" s="31"/>
      <c r="E28" s="31"/>
      <c r="F28" s="31"/>
      <c r="G28" s="31"/>
      <c r="H28" s="31"/>
      <c r="I28" s="31"/>
    </row>
    <row r="29" spans="1:13" s="24" customFormat="1" x14ac:dyDescent="0.25">
      <c r="A29" s="31" t="s">
        <v>28</v>
      </c>
      <c r="B29" s="31"/>
      <c r="C29" s="31"/>
      <c r="D29" s="31"/>
      <c r="E29" s="31"/>
      <c r="F29" s="31"/>
      <c r="G29" s="31"/>
    </row>
    <row r="30" spans="1:13" x14ac:dyDescent="0.25">
      <c r="A30" s="25"/>
      <c r="B30"/>
      <c r="C30"/>
      <c r="D30"/>
      <c r="E30"/>
      <c r="I30"/>
      <c r="J30"/>
      <c r="K30"/>
    </row>
    <row r="31" spans="1:13" x14ac:dyDescent="0.25">
      <c r="A31" s="27" t="s">
        <v>29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6"/>
    </row>
    <row r="32" spans="1:13" x14ac:dyDescent="0.25">
      <c r="A32" s="27" t="s">
        <v>30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x14ac:dyDescent="0.25">
      <c r="A33" s="27" t="s">
        <v>31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</row>
    <row r="34" spans="1:13" x14ac:dyDescent="0.25">
      <c r="A34" s="27" t="s">
        <v>32</v>
      </c>
      <c r="B34" s="27"/>
      <c r="C34" s="27"/>
      <c r="D34" s="27"/>
      <c r="E34"/>
      <c r="I34"/>
      <c r="J34"/>
      <c r="K34"/>
      <c r="M34" s="26"/>
    </row>
    <row r="35" spans="1:13" x14ac:dyDescent="0.25">
      <c r="A35"/>
      <c r="B35"/>
      <c r="C35"/>
      <c r="D35"/>
      <c r="E35"/>
      <c r="I35"/>
      <c r="J35"/>
      <c r="K35"/>
    </row>
    <row r="36" spans="1:13" s="24" customFormat="1" x14ac:dyDescent="0.25">
      <c r="A36" s="23" t="s">
        <v>33</v>
      </c>
    </row>
    <row r="37" spans="1:13" s="24" customFormat="1" x14ac:dyDescent="0.25">
      <c r="A37" s="23" t="s">
        <v>34</v>
      </c>
    </row>
    <row r="38" spans="1:13" s="24" customFormat="1" x14ac:dyDescent="0.25">
      <c r="A38" s="23" t="s">
        <v>35</v>
      </c>
    </row>
    <row r="39" spans="1:13" s="24" customFormat="1" x14ac:dyDescent="0.25">
      <c r="A39" s="23" t="s">
        <v>36</v>
      </c>
    </row>
    <row r="40" spans="1:13" s="24" customFormat="1" x14ac:dyDescent="0.25">
      <c r="A40" s="23" t="s">
        <v>37</v>
      </c>
    </row>
    <row r="41" spans="1:13" s="24" customFormat="1" x14ac:dyDescent="0.25">
      <c r="A41" s="23" t="s">
        <v>38</v>
      </c>
    </row>
    <row r="42" spans="1:13" s="24" customFormat="1" x14ac:dyDescent="0.25">
      <c r="A42" s="23" t="s">
        <v>39</v>
      </c>
    </row>
    <row r="43" spans="1:13" s="24" customFormat="1" x14ac:dyDescent="0.25">
      <c r="A43" s="23" t="s">
        <v>40</v>
      </c>
    </row>
    <row r="44" spans="1:13" s="24" customFormat="1" x14ac:dyDescent="0.25">
      <c r="A44" s="23" t="s">
        <v>41</v>
      </c>
    </row>
    <row r="45" spans="1:13" s="24" customFormat="1" x14ac:dyDescent="0.25">
      <c r="A45" s="23" t="s">
        <v>42</v>
      </c>
    </row>
    <row r="46" spans="1:13" x14ac:dyDescent="0.25">
      <c r="A46" t="s">
        <v>43</v>
      </c>
      <c r="B46"/>
      <c r="C46"/>
      <c r="D46"/>
      <c r="E46"/>
      <c r="I46"/>
      <c r="J46"/>
      <c r="K46"/>
    </row>
  </sheetData>
  <mergeCells count="8">
    <mergeCell ref="A33:M33"/>
    <mergeCell ref="A34:D34"/>
    <mergeCell ref="A1:E1"/>
    <mergeCell ref="A24:L24"/>
    <mergeCell ref="A28:I28"/>
    <mergeCell ref="A29:G29"/>
    <mergeCell ref="A31:L31"/>
    <mergeCell ref="A32:M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Carmack</dc:creator>
  <cp:lastModifiedBy>Travis Knight</cp:lastModifiedBy>
  <dcterms:created xsi:type="dcterms:W3CDTF">2026-01-22T21:21:47Z</dcterms:created>
  <dcterms:modified xsi:type="dcterms:W3CDTF">2026-01-26T18:22:29Z</dcterms:modified>
</cp:coreProperties>
</file>