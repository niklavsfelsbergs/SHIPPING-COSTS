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klavs.felsbergs\Desktop\SHIPPING-COSTS\carriers\fedex\temp_files\"/>
    </mc:Choice>
  </mc:AlternateContent>
  <xr:revisionPtr revIDLastSave="0" documentId="13_ncr:1_{3B0E6463-7163-4223-A836-98F68B131AC6}" xr6:coauthVersionLast="47" xr6:coauthVersionMax="47" xr10:uidLastSave="{00000000-0000-0000-0000-000000000000}"/>
  <bookViews>
    <workbookView xWindow="-120" yWindow="-120" windowWidth="29040" windowHeight="15720" activeTab="2" xr2:uid="{4CCBC0C8-328D-47C7-AADE-7A977450C53C}"/>
  </bookViews>
  <sheets>
    <sheet name="Report" sheetId="1" r:id="rId1"/>
    <sheet name="Home" sheetId="2" r:id="rId2"/>
    <sheet name="Groun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1" i="2" l="1"/>
  <c r="W24" i="2"/>
  <c r="W25" i="2" s="1"/>
  <c r="Y19" i="2"/>
  <c r="X17" i="2"/>
  <c r="Y17" i="2" s="1"/>
  <c r="S17" i="3"/>
  <c r="Q17" i="3"/>
  <c r="R23" i="2"/>
  <c r="R22" i="2"/>
  <c r="R21" i="2"/>
  <c r="R20" i="2"/>
  <c r="T18" i="2"/>
  <c r="T17" i="2"/>
  <c r="S18" i="2"/>
  <c r="S17" i="2"/>
  <c r="R18" i="2"/>
  <c r="R17" i="2"/>
</calcChain>
</file>

<file path=xl/sharedStrings.xml><?xml version="1.0" encoding="utf-8"?>
<sst xmlns="http://schemas.openxmlformats.org/spreadsheetml/2006/main" count="612" uniqueCount="163">
  <si>
    <t/>
  </si>
  <si>
    <t>FedEx Ratesheets</t>
  </si>
  <si>
    <t>Customer Name:</t>
  </si>
  <si>
    <t>Picanova Inc.</t>
  </si>
  <si>
    <t>Effective Date:</t>
  </si>
  <si>
    <t>04 November 2025</t>
  </si>
  <si>
    <t>Created On:</t>
  </si>
  <si>
    <t>14 January 2026</t>
  </si>
  <si>
    <t>Net rates are not legally binding. The net rate sheets presented in this rate sheet document are for your convenience only, and are not an agreement or part of an agreement. In the event of a conflict between any net rates / net rate sheets and any actual invoiced amount, the actual invoiced amount shall always prevail.</t>
  </si>
  <si>
    <t>This account is currently in 'Delete' status. The below net rates may not apply unless the account profile is updated and the account is put in 'Active' status.</t>
  </si>
  <si>
    <t>Please review your agreement for complete details or contact your FedEx Representative, Travis Knight phone# +1 (720) 219-6538.</t>
  </si>
  <si>
    <t>FedEx reserves the right to change pricing at any time.</t>
  </si>
  <si>
    <t>Net rates for a country only apply to payor accounts in that country.</t>
  </si>
  <si>
    <t>Net rates are calculated based on applicable transportation discounts and do not include: surcharges, ancillary / other charges, duties and taxes, or special handling fees.</t>
  </si>
  <si>
    <t>For services with Earned Discounts, actual net rates may vary due to changes in customer's shipping patterns that affect revenue thresholds used in net rate calculations. Similarly, effect of Bonus Discounts depends upon customers’ shipping patterns and automation devices.</t>
  </si>
  <si>
    <t>If ratesheet currency differs from account billing currency, then net rates will not match billing statement. This rate mismatch will increase or decrease with exchange rates fluctuations.</t>
  </si>
  <si>
    <t>FedEx ExpressNet Rates</t>
  </si>
  <si>
    <t>Customer Name / Location(s):</t>
  </si>
  <si>
    <t>Country ID</t>
  </si>
  <si>
    <t>U.S.A. Express Rates</t>
  </si>
  <si>
    <t>United States Domestic Express</t>
  </si>
  <si>
    <t>FedEx First Overnight Envelope</t>
  </si>
  <si>
    <t>Please refer to list rates for this service.</t>
  </si>
  <si>
    <t>FedEx First Overnight</t>
  </si>
  <si>
    <t>FedEx Priority Overnight</t>
  </si>
  <si>
    <t>Currency: USD</t>
  </si>
  <si>
    <t>Net rates are effective as of 04 November 2025.</t>
  </si>
  <si>
    <t>Package Type</t>
  </si>
  <si>
    <t>SYSTEMATIC Earned Discount ED Program 1</t>
  </si>
  <si>
    <t>Envelope</t>
  </si>
  <si>
    <t>Package</t>
  </si>
  <si>
    <t>Pak</t>
  </si>
  <si>
    <t>Weight</t>
  </si>
  <si>
    <t>Zone(s)</t>
  </si>
  <si>
    <t>lbs.</t>
  </si>
  <si>
    <t>Net rates highlighted in yellow indicate that the net rate reflects the minimum charge.</t>
  </si>
  <si>
    <t>Per-pound rates. Multiply by actual shipment weight in pounds to get the net rate.</t>
  </si>
  <si>
    <t>100 - 150</t>
  </si>
  <si>
    <t>151 - 299</t>
  </si>
  <si>
    <t>300 - 499</t>
  </si>
  <si>
    <t>500 - 999</t>
  </si>
  <si>
    <t>1,000 - 1,999</t>
  </si>
  <si>
    <t>2,000 - 9,999</t>
  </si>
  <si>
    <t>FedEx Standard Overnight</t>
  </si>
  <si>
    <t>FedEx 2Day A.M.</t>
  </si>
  <si>
    <t>FedEx 2Day</t>
  </si>
  <si>
    <t>FedEx Express Saver</t>
  </si>
  <si>
    <t>FedEx First Overnight Freight</t>
  </si>
  <si>
    <t>FedEx 1Day Freight</t>
  </si>
  <si>
    <t>2,000 - 4,999</t>
  </si>
  <si>
    <t>5,000 - 9,999</t>
  </si>
  <si>
    <t>FedEx 2Day Freight</t>
  </si>
  <si>
    <t>FedEx 3Day Freight</t>
  </si>
  <si>
    <t>FedEx GroundNet Rates</t>
  </si>
  <si>
    <t>U.S.A. Ground Rates</t>
  </si>
  <si>
    <t>For SmartPost by Pound packages rated with a Dimensional weight of more than 71 pounds, to calculate the rate: take the rate for the 71 pound package in the desired shipping zone, divide by 71, and then multiply the resultant per-pound net rate by the dimensional weight of the package being shipped. This will be the projected net rate of the SmartPost Dimensional shipment.</t>
  </si>
  <si>
    <t>Discounts displayed in the discount table for a service may not be applicable to all the zones of that service. Please refer to your agreement for details.</t>
  </si>
  <si>
    <t>United States Ground Domestic Single Piece</t>
  </si>
  <si>
    <t>Ground Domestic Single Piece ( IB,OB,RB,3P )</t>
  </si>
  <si>
    <t>Ground Domestic Single Piece</t>
  </si>
  <si>
    <t>Rates presented here were converted to  USD  on  04 November 2025 , and are subject to daily exchange rate fluctuations.</t>
  </si>
  <si>
    <t xml:space="preserve">Billing Type:      </t>
  </si>
  <si>
    <t>Inbound, Outbound, Recipient Billing, Third Party</t>
  </si>
  <si>
    <t>Home Delivery Domestic Single Piece ( OB,3P )</t>
  </si>
  <si>
    <t>Home Delivery Domestic Single Piece</t>
  </si>
  <si>
    <t>Outbound, Third Party</t>
  </si>
  <si>
    <t>Ground Domestic Single Piece RM ( OB,3P )</t>
  </si>
  <si>
    <t>United States Ground Domestic MWT</t>
  </si>
  <si>
    <t>Ground Domestic MWT ( IB,OB,RB,3P )</t>
  </si>
  <si>
    <t>Ground Domestic MWT</t>
  </si>
  <si>
    <t>200.00 - Tier 1</t>
  </si>
  <si>
    <t>210.00 - Tier 1</t>
  </si>
  <si>
    <t>220.00 - Tier 1</t>
  </si>
  <si>
    <t>230.00 - Tier 1</t>
  </si>
  <si>
    <t>240.00 - Tier 1</t>
  </si>
  <si>
    <t>250.00 - Tier 1</t>
  </si>
  <si>
    <t>260.00 - Tier 1</t>
  </si>
  <si>
    <t>270.00 - Tier 1</t>
  </si>
  <si>
    <t>280.00 - Tier 1</t>
  </si>
  <si>
    <t>290.00 - Tier 1</t>
  </si>
  <si>
    <t>300.00 - Tier 1</t>
  </si>
  <si>
    <t>310.00 - Tier 1</t>
  </si>
  <si>
    <t>320.00 - Tier 1</t>
  </si>
  <si>
    <t>330.00 - Tier 1</t>
  </si>
  <si>
    <t>340.00 - Tier 1</t>
  </si>
  <si>
    <t>350.00 - Tier 1</t>
  </si>
  <si>
    <t>360.00 - Tier 1</t>
  </si>
  <si>
    <t>370.00 - Tier 1</t>
  </si>
  <si>
    <t>380.00 - Tier 1</t>
  </si>
  <si>
    <t>390.00 - Tier 1</t>
  </si>
  <si>
    <t>400.00 - Tier 1</t>
  </si>
  <si>
    <t>410.00 - Tier 1</t>
  </si>
  <si>
    <t>420.00 - Tier 1</t>
  </si>
  <si>
    <t>430.00 - Tier 1</t>
  </si>
  <si>
    <t>440.00 - Tier 1</t>
  </si>
  <si>
    <t>450.00 - Tier 1</t>
  </si>
  <si>
    <t>460.00 - Tier 1</t>
  </si>
  <si>
    <t>470.00 - Tier 1</t>
  </si>
  <si>
    <t>480.00 - Tier 1</t>
  </si>
  <si>
    <t>490.00 - Tier 1</t>
  </si>
  <si>
    <t>500.00 - Tier 501</t>
  </si>
  <si>
    <t>510.00 - Tier 501</t>
  </si>
  <si>
    <t>520.00 - Tier 501</t>
  </si>
  <si>
    <t>530.00 - Tier 501</t>
  </si>
  <si>
    <t>540.00 - Tier 501</t>
  </si>
  <si>
    <t>550.00 - Tier 501</t>
  </si>
  <si>
    <t>560.00 - Tier 501</t>
  </si>
  <si>
    <t>570.00 - Tier 501</t>
  </si>
  <si>
    <t>580.00 - Tier 501</t>
  </si>
  <si>
    <t>590.00 - Tier 501</t>
  </si>
  <si>
    <t>600.00 - Tier 501</t>
  </si>
  <si>
    <t>610.00 - Tier 501</t>
  </si>
  <si>
    <t>620.00 - Tier 501</t>
  </si>
  <si>
    <t>630.00 - Tier 501</t>
  </si>
  <si>
    <t>640.00 - Tier 501</t>
  </si>
  <si>
    <t>650.00 - Tier 501</t>
  </si>
  <si>
    <t>660.00 - Tier 501</t>
  </si>
  <si>
    <t>670.00 - Tier 501</t>
  </si>
  <si>
    <t>680.00 - Tier 501</t>
  </si>
  <si>
    <t>690.00 - Tier 501</t>
  </si>
  <si>
    <t>700.00 - Tier 501</t>
  </si>
  <si>
    <t>710.00 - Tier 501</t>
  </si>
  <si>
    <t>720.00 - Tier 501</t>
  </si>
  <si>
    <t>730.00 - Tier 501</t>
  </si>
  <si>
    <t>740.00 - Tier 501</t>
  </si>
  <si>
    <t>750.00 - Tier 501</t>
  </si>
  <si>
    <t>760.00 - Tier 501</t>
  </si>
  <si>
    <t>770.00 - Tier 501</t>
  </si>
  <si>
    <t>780.00 - Tier 501</t>
  </si>
  <si>
    <t>790.00 - Tier 501</t>
  </si>
  <si>
    <t>800.00 - Tier 501</t>
  </si>
  <si>
    <t>810.00 - Tier 501</t>
  </si>
  <si>
    <t>820.00 - Tier 501</t>
  </si>
  <si>
    <t>830.00 - Tier 501</t>
  </si>
  <si>
    <t>840.00 - Tier 501</t>
  </si>
  <si>
    <t>850.00 - Tier 501</t>
  </si>
  <si>
    <t>860.00 - Tier 501</t>
  </si>
  <si>
    <t>870.00 - Tier 501</t>
  </si>
  <si>
    <t>880.00 - Tier 501</t>
  </si>
  <si>
    <t>890.00 - Tier 501</t>
  </si>
  <si>
    <t>900.00 - Tier 501</t>
  </si>
  <si>
    <t>910.00 - Tier 501</t>
  </si>
  <si>
    <t>920.00 - Tier 501</t>
  </si>
  <si>
    <t>930.00 - Tier 501</t>
  </si>
  <si>
    <t>940.00 - Tier 501</t>
  </si>
  <si>
    <t>950.00 - Tier 501</t>
  </si>
  <si>
    <t>960.00 - Tier 501</t>
  </si>
  <si>
    <t>970.00 - Tier 501</t>
  </si>
  <si>
    <t>980.00 - Tier 501</t>
  </si>
  <si>
    <t>990.00 - Tier 501</t>
  </si>
  <si>
    <t>1,000.00 - Tier 501</t>
  </si>
  <si>
    <t>Home Delivery Domestic MWT ( OB,3P )</t>
  </si>
  <si>
    <t>Home Delivery Domestic MWT</t>
  </si>
  <si>
    <t>United States FedEx Ground Economy</t>
  </si>
  <si>
    <t>FedEx Ground Economy (by Pound) ( OB )</t>
  </si>
  <si>
    <t>FedEx Ground Economy (by Pound)</t>
  </si>
  <si>
    <t>Outbound</t>
  </si>
  <si>
    <t>FedEx Ground Economy (by Ounce) ( OB )</t>
  </si>
  <si>
    <t>FedEx Ground Economy (by Ounce)</t>
  </si>
  <si>
    <t>Ounce</t>
  </si>
  <si>
    <t>Agreement No.:491103984-115-04</t>
  </si>
  <si>
    <t>Version No.:1</t>
  </si>
  <si>
    <t>Proposal No.:15109851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</si>
</sst>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b/>
      <u/>
      <sz val="12"/>
      <color indexed="8"/>
      <name val="Arial"/>
      <family val="2"/>
    </font>
    <font>
      <b/>
      <sz val="12"/>
      <color indexed="8"/>
      <name val="Arial"/>
      <family val="2"/>
    </font>
    <font>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B00"/>
        <bgColor indexed="64"/>
      </patternFill>
    </fill>
    <fill>
      <patternFill patternType="solid">
        <fgColor theme="9"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5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xf numFmtId="43" fontId="21" fillId="0" borderId="0" applyFont="0" applyFill="0" applyBorder="0" applyAlignment="0" applyProtection="0"/>
    <xf numFmtId="9" fontId="21" fillId="0" borderId="0" applyFont="0" applyFill="0" applyBorder="0" applyAlignment="0" applyProtection="0"/>
    <xf numFmtId="0" fontId="1" fillId="0" borderId="0"/>
    <xf numFmtId="0" fontId="1" fillId="0" borderId="0"/>
    <xf numFmtId="0" fontId="1" fillId="0" borderId="0"/>
    <xf numFmtId="0" fontId="1" fillId="0" borderId="0"/>
    <xf numFmtId="0" fontId="21" fillId="0" borderId="0"/>
    <xf numFmtId="0" fontId="21" fillId="0" borderId="0"/>
    <xf numFmtId="44" fontId="21"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cellStyleXfs>
  <cellXfs count="15">
    <xf numFmtId="0" fontId="0" fillId="0" borderId="0" xfId="0"/>
    <xf numFmtId="0" fontId="18" fillId="0" borderId="0" xfId="0" applyFont="1"/>
    <xf numFmtId="0" fontId="20" fillId="0" borderId="0" xfId="0" applyFont="1"/>
    <xf numFmtId="10" fontId="0" fillId="0" borderId="0" xfId="0" applyNumberFormat="1"/>
    <xf numFmtId="2" fontId="0" fillId="33" borderId="0" xfId="0" applyNumberFormat="1" applyFill="1"/>
    <xf numFmtId="2" fontId="0" fillId="0" borderId="0" xfId="0" applyNumberFormat="1"/>
    <xf numFmtId="0" fontId="18" fillId="34" borderId="0" xfId="0" applyFont="1" applyFill="1"/>
    <xf numFmtId="0" fontId="18" fillId="0" borderId="0" xfId="0" applyFont="1"/>
    <xf numFmtId="0" fontId="20" fillId="0" borderId="0" xfId="0" applyFont="1"/>
    <xf numFmtId="0" fontId="19" fillId="0" borderId="0" xfId="0" applyFont="1" applyAlignment="1">
      <alignment horizontal="center" vertical="top" wrapText="1"/>
    </xf>
    <xf numFmtId="0" fontId="20" fillId="34" borderId="0" xfId="0" applyFont="1" applyFill="1"/>
    <xf numFmtId="0" fontId="18" fillId="34" borderId="0" xfId="0" applyFont="1" applyFill="1"/>
    <xf numFmtId="164" fontId="21" fillId="0" borderId="10" xfId="51" applyNumberFormat="1" applyFont="1" applyFill="1" applyBorder="1"/>
    <xf numFmtId="164" fontId="18" fillId="0" borderId="0" xfId="0" applyNumberFormat="1" applyFont="1"/>
    <xf numFmtId="164" fontId="21" fillId="0" borderId="10" xfId="51" applyNumberFormat="1" applyFont="1" applyFill="1" applyBorder="1"/>
  </cellXfs>
  <cellStyles count="5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37EA6D47-F5AC-42DC-9415-927066A3CB8C}"/>
    <cellStyle name="Currency 2" xfId="51" xr:uid="{4540AF6E-6801-4DAB-822C-DD055230AC9A}"/>
    <cellStyle name="Currency 3" xfId="54" xr:uid="{984D8E23-2A45-45C6-9044-C037A137702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5" xr:uid="{924FA118-F264-4114-9DC4-CBEEF6664824}"/>
    <cellStyle name="Normal 2 2 2" xfId="50" xr:uid="{CD6BE89C-6B77-4962-8A58-197FB4DA3BF0}"/>
    <cellStyle name="Normal 2 4" xfId="49" xr:uid="{4A18234C-866A-4DA8-BCF7-08037836E439}"/>
    <cellStyle name="Normal 3" xfId="46" xr:uid="{2A5C7917-FFEB-475F-96EA-35F1BA0A45CA}"/>
    <cellStyle name="Normal 4" xfId="47" xr:uid="{F6FBE6F4-A47C-468D-A420-254194B8756F}"/>
    <cellStyle name="Normal 5" xfId="48" xr:uid="{B977A175-A69A-49BA-9F89-1943BF73361C}"/>
    <cellStyle name="Normal 6" xfId="52" xr:uid="{71A7421E-AAF0-47AA-BC4B-6F77DE6FBBE7}"/>
    <cellStyle name="Normal 7" xfId="55" xr:uid="{ADE8C682-629B-41BA-AF71-1D6AF9419CEC}"/>
    <cellStyle name="Normal 8" xfId="42" xr:uid="{31F74BF4-1093-4D36-B061-9D0B4944DE43}"/>
    <cellStyle name="Note" xfId="15" builtinId="10" customBuiltin="1"/>
    <cellStyle name="Output" xfId="10" builtinId="21" customBuiltin="1"/>
    <cellStyle name="Percent 2" xfId="53" xr:uid="{1E2DFF59-8F40-4F2F-AE64-70C7281EA7F7}"/>
    <cellStyle name="Percent 3" xfId="44" xr:uid="{1FA475D0-228D-4CB0-9E1B-714AEB321430}"/>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ED555-4DFC-417A-AE2E-E567C4061BC6}">
  <dimension ref="A1:P1947"/>
  <sheetViews>
    <sheetView topLeftCell="A1883" workbookViewId="0">
      <selection activeCell="A1814" sqref="A1814:XFD1901"/>
    </sheetView>
  </sheetViews>
  <sheetFormatPr defaultColWidth="8.81640625" defaultRowHeight="15" customHeight="1" x14ac:dyDescent="0.3"/>
  <cols>
    <col min="1" max="1" width="50.7265625" style="1" customWidth="1"/>
    <col min="2" max="16384" width="8.81640625" style="1"/>
  </cols>
  <sheetData>
    <row r="1" spans="1:4" ht="15" customHeight="1" x14ac:dyDescent="0.35">
      <c r="A1" s="8" t="s">
        <v>0</v>
      </c>
      <c r="B1" s="8"/>
      <c r="C1" s="8"/>
    </row>
    <row r="2" spans="1:4" ht="15" customHeight="1" x14ac:dyDescent="0.3">
      <c r="A2" s="9" t="s">
        <v>0</v>
      </c>
      <c r="B2" s="9"/>
      <c r="C2" s="9"/>
      <c r="D2" s="9"/>
    </row>
    <row r="5" spans="1:4" ht="15" customHeight="1" x14ac:dyDescent="0.3">
      <c r="A5" s="9" t="s">
        <v>1</v>
      </c>
      <c r="B5" s="9"/>
      <c r="C5" s="9"/>
      <c r="D5" s="9"/>
    </row>
    <row r="7" spans="1:4" ht="15" customHeight="1" x14ac:dyDescent="0.35">
      <c r="A7" s="8" t="s">
        <v>2</v>
      </c>
      <c r="B7" s="8"/>
      <c r="C7" s="1" t="s">
        <v>3</v>
      </c>
    </row>
    <row r="9" spans="1:4" ht="15" customHeight="1" x14ac:dyDescent="0.35">
      <c r="A9" s="8" t="s">
        <v>4</v>
      </c>
      <c r="B9" s="8"/>
      <c r="C9" s="7" t="s">
        <v>5</v>
      </c>
      <c r="D9" s="7"/>
    </row>
    <row r="11" spans="1:4" ht="15" customHeight="1" x14ac:dyDescent="0.35">
      <c r="A11" s="8" t="s">
        <v>6</v>
      </c>
      <c r="B11" s="8"/>
      <c r="C11" s="1" t="s">
        <v>7</v>
      </c>
    </row>
    <row r="13" spans="1:4" ht="15" customHeight="1" x14ac:dyDescent="0.3">
      <c r="A13" s="1" t="s">
        <v>8</v>
      </c>
    </row>
    <row r="15" spans="1:4" ht="15" customHeight="1" x14ac:dyDescent="0.3">
      <c r="A15" s="1" t="s">
        <v>9</v>
      </c>
    </row>
    <row r="17" spans="1:8" ht="15" customHeight="1" x14ac:dyDescent="0.3">
      <c r="A17" s="1" t="s">
        <v>10</v>
      </c>
    </row>
    <row r="19" spans="1:8" ht="15" customHeight="1" x14ac:dyDescent="0.3">
      <c r="A19" s="1" t="s">
        <v>11</v>
      </c>
    </row>
    <row r="21" spans="1:8" ht="15" customHeight="1" x14ac:dyDescent="0.3">
      <c r="A21" s="1" t="s">
        <v>12</v>
      </c>
    </row>
    <row r="23" spans="1:8" ht="15" customHeight="1" x14ac:dyDescent="0.3">
      <c r="A23" s="1" t="s">
        <v>13</v>
      </c>
    </row>
    <row r="25" spans="1:8" ht="15" customHeight="1" x14ac:dyDescent="0.3">
      <c r="A25" s="1" t="s">
        <v>14</v>
      </c>
    </row>
    <row r="27" spans="1:8" ht="15" customHeight="1" x14ac:dyDescent="0.3">
      <c r="A27" s="1" t="s">
        <v>15</v>
      </c>
    </row>
    <row r="29" spans="1:8" ht="15" customHeight="1" x14ac:dyDescent="0.3">
      <c r="B29" s="9" t="s">
        <v>16</v>
      </c>
      <c r="C29" s="9"/>
      <c r="D29" s="9"/>
      <c r="E29" s="9"/>
    </row>
    <row r="31" spans="1:8" ht="15" customHeight="1" x14ac:dyDescent="0.35">
      <c r="A31" s="8" t="s">
        <v>17</v>
      </c>
      <c r="B31" s="8"/>
      <c r="C31" s="8"/>
      <c r="D31" s="8"/>
      <c r="E31" s="8" t="s">
        <v>18</v>
      </c>
      <c r="F31" s="8"/>
      <c r="G31" s="7">
        <v>488838028</v>
      </c>
      <c r="H31" s="7"/>
    </row>
    <row r="32" spans="1:8" ht="15" customHeight="1" x14ac:dyDescent="0.3">
      <c r="A32" s="7" t="s">
        <v>3</v>
      </c>
      <c r="B32" s="7"/>
      <c r="C32" s="7"/>
      <c r="D32" s="7"/>
    </row>
    <row r="33" spans="1:7" ht="15" customHeight="1" x14ac:dyDescent="0.3">
      <c r="A33" s="7" t="s">
        <v>0</v>
      </c>
      <c r="B33" s="7"/>
      <c r="C33" s="7"/>
      <c r="D33" s="7"/>
    </row>
    <row r="34" spans="1:7" ht="15" customHeight="1" x14ac:dyDescent="0.3">
      <c r="A34" s="7" t="s">
        <v>0</v>
      </c>
      <c r="B34" s="7"/>
      <c r="C34" s="7"/>
      <c r="D34" s="7"/>
    </row>
    <row r="35" spans="1:7" ht="15" customHeight="1" x14ac:dyDescent="0.3">
      <c r="A35" s="7" t="s">
        <v>0</v>
      </c>
      <c r="B35" s="7"/>
      <c r="C35" s="7"/>
      <c r="D35" s="7"/>
    </row>
    <row r="37" spans="1:7" ht="15" customHeight="1" x14ac:dyDescent="0.35">
      <c r="B37" s="8" t="s">
        <v>19</v>
      </c>
      <c r="C37" s="8"/>
      <c r="D37" s="8"/>
      <c r="E37" s="8"/>
    </row>
    <row r="40" spans="1:7" ht="15" customHeight="1" x14ac:dyDescent="0.35">
      <c r="A40" s="8" t="s">
        <v>20</v>
      </c>
      <c r="B40" s="8"/>
      <c r="C40" s="8"/>
      <c r="D40" s="8"/>
    </row>
    <row r="41" spans="1:7" ht="15" customHeight="1" x14ac:dyDescent="0.3">
      <c r="A41" s="7" t="s">
        <v>0</v>
      </c>
      <c r="B41" s="7"/>
      <c r="C41" s="7"/>
      <c r="D41" s="7"/>
      <c r="E41" s="7"/>
    </row>
    <row r="42" spans="1:7" ht="15" customHeight="1" x14ac:dyDescent="0.35">
      <c r="A42" s="8" t="s">
        <v>21</v>
      </c>
      <c r="B42" s="8"/>
      <c r="C42" s="8"/>
      <c r="D42" s="8"/>
      <c r="E42" s="8"/>
      <c r="F42" s="8"/>
      <c r="G42" s="8"/>
    </row>
    <row r="44" spans="1:7" ht="15" customHeight="1" x14ac:dyDescent="0.3">
      <c r="A44" s="7" t="s">
        <v>22</v>
      </c>
      <c r="B44" s="7"/>
      <c r="C44" s="7"/>
      <c r="D44" s="7"/>
      <c r="E44" s="7"/>
    </row>
    <row r="48" spans="1:7" ht="15" customHeight="1" x14ac:dyDescent="0.3">
      <c r="A48" s="7" t="s">
        <v>0</v>
      </c>
      <c r="B48" s="7"/>
      <c r="C48" s="7"/>
      <c r="D48" s="7"/>
      <c r="E48" s="7"/>
    </row>
    <row r="49" spans="1:11" ht="15" customHeight="1" x14ac:dyDescent="0.35">
      <c r="A49" s="8" t="s">
        <v>23</v>
      </c>
      <c r="B49" s="8"/>
      <c r="C49" s="8"/>
      <c r="D49" s="8"/>
      <c r="E49" s="8"/>
      <c r="F49" s="8"/>
      <c r="G49" s="8"/>
    </row>
    <row r="51" spans="1:11" ht="15" customHeight="1" x14ac:dyDescent="0.3">
      <c r="A51" s="7" t="s">
        <v>22</v>
      </c>
      <c r="B51" s="7"/>
      <c r="C51" s="7"/>
      <c r="D51" s="7"/>
      <c r="E51" s="7"/>
    </row>
    <row r="55" spans="1:11" ht="15" customHeight="1" x14ac:dyDescent="0.3">
      <c r="A55" s="7" t="s">
        <v>0</v>
      </c>
      <c r="B55" s="7"/>
      <c r="C55" s="7"/>
      <c r="D55" s="7"/>
      <c r="E55" s="7"/>
    </row>
    <row r="56" spans="1:11" ht="15" customHeight="1" x14ac:dyDescent="0.35">
      <c r="A56" s="8" t="s">
        <v>24</v>
      </c>
      <c r="B56" s="8"/>
      <c r="C56" s="8"/>
      <c r="D56" s="8"/>
      <c r="E56" s="8"/>
      <c r="F56" s="8"/>
      <c r="G56" s="8"/>
      <c r="H56" s="7" t="s">
        <v>25</v>
      </c>
      <c r="I56" s="7"/>
      <c r="J56" s="7"/>
      <c r="K56" s="7"/>
    </row>
    <row r="60" spans="1:11" ht="15" customHeight="1" x14ac:dyDescent="0.3">
      <c r="A60" s="1" t="s">
        <v>26</v>
      </c>
    </row>
    <row r="61" spans="1:11" ht="15" customHeight="1" x14ac:dyDescent="0.3">
      <c r="A61" s="1" t="s">
        <v>0</v>
      </c>
    </row>
    <row r="62" spans="1:11" ht="15" customHeight="1" x14ac:dyDescent="0.3">
      <c r="A62" s="1" t="s">
        <v>0</v>
      </c>
    </row>
    <row r="63" spans="1:11" ht="15" customHeight="1" x14ac:dyDescent="0.3">
      <c r="A63" s="1" t="s">
        <v>27</v>
      </c>
      <c r="B63" s="1" t="s">
        <v>28</v>
      </c>
    </row>
    <row r="64" spans="1:11" ht="15" customHeight="1" x14ac:dyDescent="0.35">
      <c r="A64" s="1" t="s">
        <v>29</v>
      </c>
      <c r="B64" s="3">
        <v>0.11</v>
      </c>
    </row>
    <row r="65" spans="1:16" ht="15" customHeight="1" x14ac:dyDescent="0.35">
      <c r="A65" s="1" t="s">
        <v>30</v>
      </c>
      <c r="B65" s="3">
        <v>0.11</v>
      </c>
    </row>
    <row r="66" spans="1:16" ht="15" customHeight="1" x14ac:dyDescent="0.35">
      <c r="A66" s="1" t="s">
        <v>31</v>
      </c>
      <c r="B66" s="3">
        <v>0.11</v>
      </c>
    </row>
    <row r="68" spans="1:16" ht="15" customHeight="1" x14ac:dyDescent="0.35">
      <c r="A68" s="2" t="s">
        <v>32</v>
      </c>
      <c r="B68" s="8" t="s">
        <v>33</v>
      </c>
      <c r="C68" s="8"/>
    </row>
    <row r="69" spans="1:16" ht="15" customHeight="1" x14ac:dyDescent="0.35">
      <c r="A69" s="2" t="s">
        <v>34</v>
      </c>
      <c r="B69" s="2">
        <v>2</v>
      </c>
      <c r="C69" s="2">
        <v>3</v>
      </c>
      <c r="D69" s="2">
        <v>4</v>
      </c>
      <c r="E69" s="2">
        <v>5</v>
      </c>
      <c r="F69" s="2">
        <v>6</v>
      </c>
      <c r="G69" s="2">
        <v>7</v>
      </c>
      <c r="H69" s="2">
        <v>8</v>
      </c>
      <c r="I69" s="2">
        <v>9</v>
      </c>
      <c r="J69" s="2">
        <v>10</v>
      </c>
      <c r="K69" s="2">
        <v>11</v>
      </c>
      <c r="L69" s="2">
        <v>12</v>
      </c>
      <c r="M69" s="2">
        <v>13</v>
      </c>
      <c r="N69" s="2">
        <v>14</v>
      </c>
      <c r="O69" s="2">
        <v>15</v>
      </c>
      <c r="P69" s="2">
        <v>16</v>
      </c>
    </row>
    <row r="70" spans="1:16" ht="15" customHeight="1" x14ac:dyDescent="0.3">
      <c r="A70" s="1" t="s">
        <v>29</v>
      </c>
    </row>
    <row r="71" spans="1:16" ht="15" customHeight="1" x14ac:dyDescent="0.35">
      <c r="A71" s="1" t="s">
        <v>0</v>
      </c>
      <c r="B71" s="4">
        <v>17.82</v>
      </c>
      <c r="C71" s="4">
        <v>17.82</v>
      </c>
      <c r="D71" s="4">
        <v>17.82</v>
      </c>
      <c r="E71" s="4">
        <v>17.82</v>
      </c>
      <c r="F71" s="4">
        <v>17.82</v>
      </c>
      <c r="G71" s="5">
        <v>19.690000000000001</v>
      </c>
      <c r="H71" s="5">
        <v>20.6</v>
      </c>
      <c r="I71" s="5">
        <v>24.7</v>
      </c>
      <c r="J71" s="5">
        <v>24.7</v>
      </c>
      <c r="K71" s="5">
        <v>27.31</v>
      </c>
      <c r="L71" s="5">
        <v>27.31</v>
      </c>
      <c r="M71" s="4">
        <v>17.82</v>
      </c>
      <c r="N71" s="4">
        <v>17.82</v>
      </c>
      <c r="O71" s="4">
        <v>17.82</v>
      </c>
      <c r="P71" s="4">
        <v>17.82</v>
      </c>
    </row>
    <row r="72" spans="1:16" ht="15" customHeight="1" x14ac:dyDescent="0.3">
      <c r="A72" s="1" t="s">
        <v>31</v>
      </c>
    </row>
    <row r="73" spans="1:16" ht="15" customHeight="1" x14ac:dyDescent="0.35">
      <c r="A73" s="1">
        <v>1</v>
      </c>
      <c r="B73" s="4">
        <v>22.29</v>
      </c>
      <c r="C73" s="4">
        <v>22.29</v>
      </c>
      <c r="D73" s="5">
        <v>24.86</v>
      </c>
      <c r="E73" s="5">
        <v>27.49</v>
      </c>
      <c r="F73" s="5">
        <v>28.94</v>
      </c>
      <c r="G73" s="5">
        <v>32.090000000000003</v>
      </c>
      <c r="H73" s="5">
        <v>32.950000000000003</v>
      </c>
      <c r="I73" s="5">
        <v>37.799999999999997</v>
      </c>
      <c r="J73" s="5">
        <v>37.799999999999997</v>
      </c>
      <c r="K73" s="5">
        <v>39.07</v>
      </c>
      <c r="L73" s="5">
        <v>39.07</v>
      </c>
      <c r="M73" s="5">
        <v>22.36</v>
      </c>
      <c r="N73" s="5">
        <v>22.36</v>
      </c>
      <c r="O73" s="5">
        <v>22.36</v>
      </c>
      <c r="P73" s="5">
        <v>22.36</v>
      </c>
    </row>
    <row r="74" spans="1:16" ht="15" customHeight="1" x14ac:dyDescent="0.35">
      <c r="A74" s="1">
        <v>2</v>
      </c>
      <c r="B74" s="4">
        <v>22.29</v>
      </c>
      <c r="C74" s="4">
        <v>22.29</v>
      </c>
      <c r="D74" s="5">
        <v>27.14</v>
      </c>
      <c r="E74" s="5">
        <v>29.51</v>
      </c>
      <c r="F74" s="5">
        <v>30.4</v>
      </c>
      <c r="G74" s="5">
        <v>34.229999999999997</v>
      </c>
      <c r="H74" s="5">
        <v>37.729999999999997</v>
      </c>
      <c r="I74" s="5">
        <v>41.25</v>
      </c>
      <c r="J74" s="5">
        <v>41.25</v>
      </c>
      <c r="K74" s="5">
        <v>42.9</v>
      </c>
      <c r="L74" s="5">
        <v>42.9</v>
      </c>
      <c r="M74" s="5">
        <v>23.8</v>
      </c>
      <c r="N74" s="5">
        <v>23.8</v>
      </c>
      <c r="O74" s="5">
        <v>23.8</v>
      </c>
      <c r="P74" s="5">
        <v>23.8</v>
      </c>
    </row>
    <row r="75" spans="1:16" ht="15" customHeight="1" x14ac:dyDescent="0.3">
      <c r="A75" s="1" t="s">
        <v>30</v>
      </c>
    </row>
    <row r="76" spans="1:16" ht="15" customHeight="1" x14ac:dyDescent="0.35">
      <c r="A76" s="1">
        <v>1</v>
      </c>
      <c r="B76" s="4">
        <v>22.29</v>
      </c>
      <c r="C76" s="4">
        <v>22.29</v>
      </c>
      <c r="D76" s="5">
        <v>24.86</v>
      </c>
      <c r="E76" s="5">
        <v>27.49</v>
      </c>
      <c r="F76" s="5">
        <v>28.94</v>
      </c>
      <c r="G76" s="5">
        <v>32.090000000000003</v>
      </c>
      <c r="H76" s="5">
        <v>32.950000000000003</v>
      </c>
      <c r="I76" s="5">
        <v>37.799999999999997</v>
      </c>
      <c r="J76" s="5">
        <v>37.799999999999997</v>
      </c>
      <c r="K76" s="5">
        <v>39.07</v>
      </c>
      <c r="L76" s="5">
        <v>39.07</v>
      </c>
      <c r="M76" s="5">
        <v>22.36</v>
      </c>
      <c r="N76" s="5">
        <v>22.36</v>
      </c>
      <c r="O76" s="5">
        <v>22.36</v>
      </c>
      <c r="P76" s="5">
        <v>22.36</v>
      </c>
    </row>
    <row r="77" spans="1:16" ht="15" customHeight="1" x14ac:dyDescent="0.35">
      <c r="A77" s="1">
        <v>2</v>
      </c>
      <c r="B77" s="4">
        <v>22.29</v>
      </c>
      <c r="C77" s="4">
        <v>22.29</v>
      </c>
      <c r="D77" s="5">
        <v>27.14</v>
      </c>
      <c r="E77" s="5">
        <v>29.51</v>
      </c>
      <c r="F77" s="5">
        <v>30.4</v>
      </c>
      <c r="G77" s="5">
        <v>34.229999999999997</v>
      </c>
      <c r="H77" s="5">
        <v>37.729999999999997</v>
      </c>
      <c r="I77" s="5">
        <v>41.25</v>
      </c>
      <c r="J77" s="5">
        <v>41.25</v>
      </c>
      <c r="K77" s="5">
        <v>42.9</v>
      </c>
      <c r="L77" s="5">
        <v>42.9</v>
      </c>
      <c r="M77" s="5">
        <v>23.8</v>
      </c>
      <c r="N77" s="5">
        <v>23.8</v>
      </c>
      <c r="O77" s="5">
        <v>23.8</v>
      </c>
      <c r="P77" s="5">
        <v>23.8</v>
      </c>
    </row>
    <row r="78" spans="1:16" ht="15" customHeight="1" x14ac:dyDescent="0.35">
      <c r="A78" s="1">
        <v>3</v>
      </c>
      <c r="B78" s="4">
        <v>22.29</v>
      </c>
      <c r="C78" s="4">
        <v>22.29</v>
      </c>
      <c r="D78" s="5">
        <v>30.06</v>
      </c>
      <c r="E78" s="5">
        <v>33.729999999999997</v>
      </c>
      <c r="F78" s="5">
        <v>36.28</v>
      </c>
      <c r="G78" s="5">
        <v>39.83</v>
      </c>
      <c r="H78" s="5">
        <v>41.25</v>
      </c>
      <c r="I78" s="5">
        <v>44.41</v>
      </c>
      <c r="J78" s="5">
        <v>44.41</v>
      </c>
      <c r="K78" s="5">
        <v>52.97</v>
      </c>
      <c r="L78" s="5">
        <v>52.97</v>
      </c>
      <c r="M78" s="5">
        <v>26.43</v>
      </c>
      <c r="N78" s="5">
        <v>26.43</v>
      </c>
      <c r="O78" s="5">
        <v>26.43</v>
      </c>
      <c r="P78" s="5">
        <v>26.43</v>
      </c>
    </row>
    <row r="79" spans="1:16" ht="15" customHeight="1" x14ac:dyDescent="0.35">
      <c r="A79" s="1">
        <v>4</v>
      </c>
      <c r="B79" s="4">
        <v>22.29</v>
      </c>
      <c r="C79" s="4">
        <v>22.29</v>
      </c>
      <c r="D79" s="5">
        <v>33.630000000000003</v>
      </c>
      <c r="E79" s="5">
        <v>36.94</v>
      </c>
      <c r="F79" s="5">
        <v>38.28</v>
      </c>
      <c r="G79" s="5">
        <v>43.26</v>
      </c>
      <c r="H79" s="5">
        <v>44.88</v>
      </c>
      <c r="I79" s="5">
        <v>50.58</v>
      </c>
      <c r="J79" s="5">
        <v>50.58</v>
      </c>
      <c r="K79" s="5">
        <v>59.48</v>
      </c>
      <c r="L79" s="5">
        <v>59.48</v>
      </c>
      <c r="M79" s="5">
        <v>30.37</v>
      </c>
      <c r="N79" s="5">
        <v>30.37</v>
      </c>
      <c r="O79" s="5">
        <v>30.37</v>
      </c>
      <c r="P79" s="5">
        <v>30.37</v>
      </c>
    </row>
    <row r="80" spans="1:16" ht="15" customHeight="1" x14ac:dyDescent="0.35">
      <c r="A80" s="1">
        <v>5</v>
      </c>
      <c r="B80" s="4">
        <v>22.29</v>
      </c>
      <c r="C80" s="4">
        <v>22.29</v>
      </c>
      <c r="D80" s="5">
        <v>34.33</v>
      </c>
      <c r="E80" s="5">
        <v>37.270000000000003</v>
      </c>
      <c r="F80" s="5">
        <v>38.630000000000003</v>
      </c>
      <c r="G80" s="5">
        <v>43.86</v>
      </c>
      <c r="H80" s="5">
        <v>45.25</v>
      </c>
      <c r="I80" s="5">
        <v>54.74</v>
      </c>
      <c r="J80" s="5">
        <v>54.74</v>
      </c>
      <c r="K80" s="5">
        <v>62.56</v>
      </c>
      <c r="L80" s="5">
        <v>62.56</v>
      </c>
      <c r="M80" s="5">
        <v>32.99</v>
      </c>
      <c r="N80" s="5">
        <v>32.99</v>
      </c>
      <c r="O80" s="5">
        <v>32.99</v>
      </c>
      <c r="P80" s="5">
        <v>32.99</v>
      </c>
    </row>
    <row r="81" spans="1:16" ht="15" customHeight="1" x14ac:dyDescent="0.35">
      <c r="A81" s="1">
        <v>6</v>
      </c>
      <c r="B81" s="4">
        <v>22.29</v>
      </c>
      <c r="C81" s="5">
        <v>24.86</v>
      </c>
      <c r="D81" s="5">
        <v>38.61</v>
      </c>
      <c r="E81" s="5">
        <v>43.58</v>
      </c>
      <c r="F81" s="5">
        <v>45.6</v>
      </c>
      <c r="G81" s="5">
        <v>50.3</v>
      </c>
      <c r="H81" s="5">
        <v>52.46</v>
      </c>
      <c r="I81" s="5">
        <v>58.71</v>
      </c>
      <c r="J81" s="5">
        <v>58.71</v>
      </c>
      <c r="K81" s="5">
        <v>66.95</v>
      </c>
      <c r="L81" s="5">
        <v>66.95</v>
      </c>
      <c r="M81" s="5">
        <v>38.76</v>
      </c>
      <c r="N81" s="5">
        <v>38.76</v>
      </c>
      <c r="O81" s="5">
        <v>38.76</v>
      </c>
      <c r="P81" s="5">
        <v>38.76</v>
      </c>
    </row>
    <row r="82" spans="1:16" ht="15" customHeight="1" x14ac:dyDescent="0.35">
      <c r="A82" s="1">
        <v>7</v>
      </c>
      <c r="B82" s="4">
        <v>22.29</v>
      </c>
      <c r="C82" s="5">
        <v>26.16</v>
      </c>
      <c r="D82" s="5">
        <v>40.340000000000003</v>
      </c>
      <c r="E82" s="5">
        <v>45.73</v>
      </c>
      <c r="F82" s="5">
        <v>47.47</v>
      </c>
      <c r="G82" s="5">
        <v>52.5</v>
      </c>
      <c r="H82" s="5">
        <v>56.06</v>
      </c>
      <c r="I82" s="5">
        <v>62.58</v>
      </c>
      <c r="J82" s="5">
        <v>62.58</v>
      </c>
      <c r="K82" s="5">
        <v>71.34</v>
      </c>
      <c r="L82" s="5">
        <v>71.34</v>
      </c>
      <c r="M82" s="5">
        <v>39.43</v>
      </c>
      <c r="N82" s="5">
        <v>39.43</v>
      </c>
      <c r="O82" s="5">
        <v>39.43</v>
      </c>
      <c r="P82" s="5">
        <v>39.43</v>
      </c>
    </row>
    <row r="83" spans="1:16" ht="15" customHeight="1" x14ac:dyDescent="0.35">
      <c r="A83" s="1">
        <v>8</v>
      </c>
      <c r="B83" s="4">
        <v>22.29</v>
      </c>
      <c r="C83" s="5">
        <v>26.29</v>
      </c>
      <c r="D83" s="5">
        <v>42.1</v>
      </c>
      <c r="E83" s="5">
        <v>47.51</v>
      </c>
      <c r="F83" s="5">
        <v>49.71</v>
      </c>
      <c r="G83" s="5">
        <v>55.61</v>
      </c>
      <c r="H83" s="5">
        <v>57.81</v>
      </c>
      <c r="I83" s="5">
        <v>66.38</v>
      </c>
      <c r="J83" s="5">
        <v>66.38</v>
      </c>
      <c r="K83" s="5">
        <v>74.680000000000007</v>
      </c>
      <c r="L83" s="5">
        <v>74.680000000000007</v>
      </c>
      <c r="M83" s="5">
        <v>46</v>
      </c>
      <c r="N83" s="5">
        <v>46</v>
      </c>
      <c r="O83" s="5">
        <v>46</v>
      </c>
      <c r="P83" s="5">
        <v>46</v>
      </c>
    </row>
    <row r="84" spans="1:16" ht="15" customHeight="1" x14ac:dyDescent="0.35">
      <c r="A84" s="1">
        <v>9</v>
      </c>
      <c r="B84" s="4">
        <v>22.29</v>
      </c>
      <c r="C84" s="5">
        <v>26.47</v>
      </c>
      <c r="D84" s="5">
        <v>43.58</v>
      </c>
      <c r="E84" s="5">
        <v>47.69</v>
      </c>
      <c r="F84" s="5">
        <v>49.94</v>
      </c>
      <c r="G84" s="5">
        <v>55.92</v>
      </c>
      <c r="H84" s="5">
        <v>57.98</v>
      </c>
      <c r="I84" s="5">
        <v>70.66</v>
      </c>
      <c r="J84" s="5">
        <v>70.66</v>
      </c>
      <c r="K84" s="5">
        <v>78.77</v>
      </c>
      <c r="L84" s="5">
        <v>78.77</v>
      </c>
      <c r="M84" s="5">
        <v>48.75</v>
      </c>
      <c r="N84" s="5">
        <v>48.75</v>
      </c>
      <c r="O84" s="5">
        <v>48.75</v>
      </c>
      <c r="P84" s="5">
        <v>48.75</v>
      </c>
    </row>
    <row r="85" spans="1:16" ht="15" customHeight="1" x14ac:dyDescent="0.35">
      <c r="A85" s="1">
        <v>10</v>
      </c>
      <c r="B85" s="4">
        <v>22.29</v>
      </c>
      <c r="C85" s="5">
        <v>26.81</v>
      </c>
      <c r="D85" s="5">
        <v>44.08</v>
      </c>
      <c r="E85" s="5">
        <v>48.36</v>
      </c>
      <c r="F85" s="5">
        <v>50.63</v>
      </c>
      <c r="G85" s="5">
        <v>56.46</v>
      </c>
      <c r="H85" s="5">
        <v>58.49</v>
      </c>
      <c r="I85" s="5">
        <v>74.8</v>
      </c>
      <c r="J85" s="5">
        <v>74.8</v>
      </c>
      <c r="K85" s="5">
        <v>79.3</v>
      </c>
      <c r="L85" s="5">
        <v>79.3</v>
      </c>
      <c r="M85" s="5">
        <v>49.03</v>
      </c>
      <c r="N85" s="5">
        <v>49.03</v>
      </c>
      <c r="O85" s="5">
        <v>49.03</v>
      </c>
      <c r="P85" s="5">
        <v>49.03</v>
      </c>
    </row>
    <row r="86" spans="1:16" ht="15" customHeight="1" x14ac:dyDescent="0.35">
      <c r="A86" s="1">
        <v>11</v>
      </c>
      <c r="B86" s="4">
        <v>22.29</v>
      </c>
      <c r="C86" s="5">
        <v>30.55</v>
      </c>
      <c r="D86" s="5">
        <v>52.03</v>
      </c>
      <c r="E86" s="5">
        <v>59.66</v>
      </c>
      <c r="F86" s="5">
        <v>62.3</v>
      </c>
      <c r="G86" s="5">
        <v>65.08</v>
      </c>
      <c r="H86" s="5">
        <v>66.39</v>
      </c>
      <c r="I86" s="5">
        <v>78.66</v>
      </c>
      <c r="J86" s="5">
        <v>78.66</v>
      </c>
      <c r="K86" s="5">
        <v>86.83</v>
      </c>
      <c r="L86" s="5">
        <v>86.83</v>
      </c>
      <c r="M86" s="5">
        <v>51.41</v>
      </c>
      <c r="N86" s="5">
        <v>51.41</v>
      </c>
      <c r="O86" s="5">
        <v>51.41</v>
      </c>
      <c r="P86" s="5">
        <v>51.41</v>
      </c>
    </row>
    <row r="87" spans="1:16" ht="15" customHeight="1" x14ac:dyDescent="0.35">
      <c r="A87" s="1">
        <v>12</v>
      </c>
      <c r="B87" s="4">
        <v>22.29</v>
      </c>
      <c r="C87" s="5">
        <v>31.56</v>
      </c>
      <c r="D87" s="5">
        <v>53.2</v>
      </c>
      <c r="E87" s="5">
        <v>62.48</v>
      </c>
      <c r="F87" s="5">
        <v>64.94</v>
      </c>
      <c r="G87" s="5">
        <v>66.45</v>
      </c>
      <c r="H87" s="5">
        <v>67.790000000000006</v>
      </c>
      <c r="I87" s="5">
        <v>83.96</v>
      </c>
      <c r="J87" s="5">
        <v>83.96</v>
      </c>
      <c r="K87" s="5">
        <v>90.4</v>
      </c>
      <c r="L87" s="5">
        <v>90.4</v>
      </c>
      <c r="M87" s="5">
        <v>62.45</v>
      </c>
      <c r="N87" s="5">
        <v>62.45</v>
      </c>
      <c r="O87" s="5">
        <v>62.45</v>
      </c>
      <c r="P87" s="5">
        <v>62.45</v>
      </c>
    </row>
    <row r="88" spans="1:16" ht="15" customHeight="1" x14ac:dyDescent="0.35">
      <c r="A88" s="1">
        <v>13</v>
      </c>
      <c r="B88" s="4">
        <v>22.29</v>
      </c>
      <c r="C88" s="5">
        <v>31.87</v>
      </c>
      <c r="D88" s="5">
        <v>54.4</v>
      </c>
      <c r="E88" s="5">
        <v>63.87</v>
      </c>
      <c r="F88" s="5">
        <v>65.209999999999994</v>
      </c>
      <c r="G88" s="5">
        <v>72.349999999999994</v>
      </c>
      <c r="H88" s="5">
        <v>73.8</v>
      </c>
      <c r="I88" s="5">
        <v>86.97</v>
      </c>
      <c r="J88" s="5">
        <v>86.97</v>
      </c>
      <c r="K88" s="5">
        <v>92.17</v>
      </c>
      <c r="L88" s="5">
        <v>92.17</v>
      </c>
      <c r="M88" s="5">
        <v>64.42</v>
      </c>
      <c r="N88" s="5">
        <v>64.42</v>
      </c>
      <c r="O88" s="5">
        <v>64.42</v>
      </c>
      <c r="P88" s="5">
        <v>64.42</v>
      </c>
    </row>
    <row r="89" spans="1:16" ht="15" customHeight="1" x14ac:dyDescent="0.35">
      <c r="A89" s="1">
        <v>14</v>
      </c>
      <c r="B89" s="5">
        <v>22.4</v>
      </c>
      <c r="C89" s="5">
        <v>32.25</v>
      </c>
      <c r="D89" s="5">
        <v>56.78</v>
      </c>
      <c r="E89" s="5">
        <v>64.010000000000005</v>
      </c>
      <c r="F89" s="5">
        <v>65.3</v>
      </c>
      <c r="G89" s="5">
        <v>72.94</v>
      </c>
      <c r="H89" s="5">
        <v>74.41</v>
      </c>
      <c r="I89" s="5">
        <v>87.27</v>
      </c>
      <c r="J89" s="5">
        <v>87.27</v>
      </c>
      <c r="K89" s="5">
        <v>92.34</v>
      </c>
      <c r="L89" s="5">
        <v>92.34</v>
      </c>
      <c r="M89" s="5">
        <v>64.67</v>
      </c>
      <c r="N89" s="5">
        <v>64.67</v>
      </c>
      <c r="O89" s="5">
        <v>64.67</v>
      </c>
      <c r="P89" s="5">
        <v>64.67</v>
      </c>
    </row>
    <row r="90" spans="1:16" ht="15" customHeight="1" x14ac:dyDescent="0.35">
      <c r="A90" s="1">
        <v>15</v>
      </c>
      <c r="B90" s="5">
        <v>22.49</v>
      </c>
      <c r="C90" s="5">
        <v>32.450000000000003</v>
      </c>
      <c r="D90" s="5">
        <v>57.77</v>
      </c>
      <c r="E90" s="5">
        <v>64.41</v>
      </c>
      <c r="F90" s="5">
        <v>65.709999999999994</v>
      </c>
      <c r="G90" s="5">
        <v>73.31</v>
      </c>
      <c r="H90" s="5">
        <v>74.78</v>
      </c>
      <c r="I90" s="5">
        <v>93.28</v>
      </c>
      <c r="J90" s="5">
        <v>93.28</v>
      </c>
      <c r="K90" s="5">
        <v>95.87</v>
      </c>
      <c r="L90" s="5">
        <v>95.87</v>
      </c>
      <c r="M90" s="5">
        <v>64.94</v>
      </c>
      <c r="N90" s="5">
        <v>64.94</v>
      </c>
      <c r="O90" s="5">
        <v>64.94</v>
      </c>
      <c r="P90" s="5">
        <v>64.94</v>
      </c>
    </row>
    <row r="91" spans="1:16" ht="15" customHeight="1" x14ac:dyDescent="0.35">
      <c r="A91" s="1">
        <v>16</v>
      </c>
      <c r="B91" s="5">
        <v>23.95</v>
      </c>
      <c r="C91" s="5">
        <v>36.33</v>
      </c>
      <c r="D91" s="5">
        <v>61.84</v>
      </c>
      <c r="E91" s="5">
        <v>72.45</v>
      </c>
      <c r="F91" s="5">
        <v>73.89</v>
      </c>
      <c r="G91" s="5">
        <v>80.739999999999995</v>
      </c>
      <c r="H91" s="5">
        <v>82.35</v>
      </c>
      <c r="I91" s="5">
        <v>96.98</v>
      </c>
      <c r="J91" s="5">
        <v>96.98</v>
      </c>
      <c r="K91" s="5">
        <v>99.93</v>
      </c>
      <c r="L91" s="5">
        <v>99.93</v>
      </c>
      <c r="M91" s="5">
        <v>65.739999999999995</v>
      </c>
      <c r="N91" s="5">
        <v>65.739999999999995</v>
      </c>
      <c r="O91" s="5">
        <v>65.739999999999995</v>
      </c>
      <c r="P91" s="5">
        <v>65.739999999999995</v>
      </c>
    </row>
    <row r="92" spans="1:16" ht="15" customHeight="1" x14ac:dyDescent="0.35">
      <c r="A92" s="1">
        <v>17</v>
      </c>
      <c r="B92" s="5">
        <v>25.32</v>
      </c>
      <c r="C92" s="5">
        <v>36.729999999999997</v>
      </c>
      <c r="D92" s="5">
        <v>65.290000000000006</v>
      </c>
      <c r="E92" s="5">
        <v>73.25</v>
      </c>
      <c r="F92" s="5">
        <v>74.72</v>
      </c>
      <c r="G92" s="5">
        <v>81.47</v>
      </c>
      <c r="H92" s="5">
        <v>83.11</v>
      </c>
      <c r="I92" s="5">
        <v>99.13</v>
      </c>
      <c r="J92" s="5">
        <v>99.13</v>
      </c>
      <c r="K92" s="5">
        <v>104.62</v>
      </c>
      <c r="L92" s="5">
        <v>104.62</v>
      </c>
      <c r="M92" s="5">
        <v>65.819999999999993</v>
      </c>
      <c r="N92" s="5">
        <v>65.819999999999993</v>
      </c>
      <c r="O92" s="5">
        <v>65.819999999999993</v>
      </c>
      <c r="P92" s="5">
        <v>65.819999999999993</v>
      </c>
    </row>
    <row r="93" spans="1:16" ht="15" customHeight="1" x14ac:dyDescent="0.35">
      <c r="A93" s="1">
        <v>18</v>
      </c>
      <c r="B93" s="5">
        <v>25.52</v>
      </c>
      <c r="C93" s="5">
        <v>36.92</v>
      </c>
      <c r="D93" s="5">
        <v>65.680000000000007</v>
      </c>
      <c r="E93" s="5">
        <v>73.34</v>
      </c>
      <c r="F93" s="5">
        <v>74.81</v>
      </c>
      <c r="G93" s="5">
        <v>81.56</v>
      </c>
      <c r="H93" s="5">
        <v>83.19</v>
      </c>
      <c r="I93" s="5">
        <v>101.58</v>
      </c>
      <c r="J93" s="5">
        <v>101.58</v>
      </c>
      <c r="K93" s="5">
        <v>108.66</v>
      </c>
      <c r="L93" s="5">
        <v>108.66</v>
      </c>
      <c r="M93" s="5">
        <v>65.89</v>
      </c>
      <c r="N93" s="5">
        <v>65.89</v>
      </c>
      <c r="O93" s="5">
        <v>65.89</v>
      </c>
      <c r="P93" s="5">
        <v>65.89</v>
      </c>
    </row>
    <row r="94" spans="1:16" ht="15" customHeight="1" x14ac:dyDescent="0.35">
      <c r="A94" s="1">
        <v>19</v>
      </c>
      <c r="B94" s="5">
        <v>25.69</v>
      </c>
      <c r="C94" s="5">
        <v>37.01</v>
      </c>
      <c r="D94" s="5">
        <v>65.75</v>
      </c>
      <c r="E94" s="5">
        <v>73.41</v>
      </c>
      <c r="F94" s="5">
        <v>74.88</v>
      </c>
      <c r="G94" s="5">
        <v>81.63</v>
      </c>
      <c r="H94" s="5">
        <v>83.27</v>
      </c>
      <c r="I94" s="5">
        <v>104.95</v>
      </c>
      <c r="J94" s="5">
        <v>104.95</v>
      </c>
      <c r="K94" s="5">
        <v>111.5</v>
      </c>
      <c r="L94" s="5">
        <v>111.5</v>
      </c>
      <c r="M94" s="5">
        <v>65.98</v>
      </c>
      <c r="N94" s="5">
        <v>65.98</v>
      </c>
      <c r="O94" s="5">
        <v>65.98</v>
      </c>
      <c r="P94" s="5">
        <v>65.98</v>
      </c>
    </row>
    <row r="95" spans="1:16" ht="15" customHeight="1" x14ac:dyDescent="0.35">
      <c r="A95" s="1">
        <v>20</v>
      </c>
      <c r="B95" s="5">
        <v>25.83</v>
      </c>
      <c r="C95" s="5">
        <v>37.17</v>
      </c>
      <c r="D95" s="5">
        <v>66.06</v>
      </c>
      <c r="E95" s="5">
        <v>73.56</v>
      </c>
      <c r="F95" s="5">
        <v>75.12</v>
      </c>
      <c r="G95" s="5">
        <v>81.87</v>
      </c>
      <c r="H95" s="5">
        <v>83.69</v>
      </c>
      <c r="I95" s="5">
        <v>107.02</v>
      </c>
      <c r="J95" s="5">
        <v>107.02</v>
      </c>
      <c r="K95" s="5">
        <v>116.39</v>
      </c>
      <c r="L95" s="5">
        <v>116.39</v>
      </c>
      <c r="M95" s="5">
        <v>66.05</v>
      </c>
      <c r="N95" s="5">
        <v>66.05</v>
      </c>
      <c r="O95" s="5">
        <v>66.05</v>
      </c>
      <c r="P95" s="5">
        <v>66.05</v>
      </c>
    </row>
    <row r="96" spans="1:16" ht="15" customHeight="1" x14ac:dyDescent="0.35">
      <c r="A96" s="1">
        <v>21</v>
      </c>
      <c r="B96" s="5">
        <v>25.15</v>
      </c>
      <c r="C96" s="5">
        <v>36.270000000000003</v>
      </c>
      <c r="D96" s="5">
        <v>67.25</v>
      </c>
      <c r="E96" s="5">
        <v>71.290000000000006</v>
      </c>
      <c r="F96" s="5">
        <v>74.38</v>
      </c>
      <c r="G96" s="5">
        <v>80.77</v>
      </c>
      <c r="H96" s="5">
        <v>85.76</v>
      </c>
      <c r="I96" s="5">
        <v>102.17</v>
      </c>
      <c r="J96" s="5">
        <v>102.17</v>
      </c>
      <c r="K96" s="5">
        <v>113.57</v>
      </c>
      <c r="L96" s="5">
        <v>113.57</v>
      </c>
      <c r="M96" s="5">
        <v>61.71</v>
      </c>
      <c r="N96" s="5">
        <v>61.71</v>
      </c>
      <c r="O96" s="5">
        <v>61.71</v>
      </c>
      <c r="P96" s="5">
        <v>61.71</v>
      </c>
    </row>
    <row r="97" spans="1:16" ht="15" customHeight="1" x14ac:dyDescent="0.35">
      <c r="A97" s="1">
        <v>22</v>
      </c>
      <c r="B97" s="5">
        <v>26.31</v>
      </c>
      <c r="C97" s="5">
        <v>38.28</v>
      </c>
      <c r="D97" s="5">
        <v>68.989999999999995</v>
      </c>
      <c r="E97" s="5">
        <v>73.349999999999994</v>
      </c>
      <c r="F97" s="5">
        <v>74.900000000000006</v>
      </c>
      <c r="G97" s="5">
        <v>84.76</v>
      </c>
      <c r="H97" s="5">
        <v>88.67</v>
      </c>
      <c r="I97" s="5">
        <v>104.46</v>
      </c>
      <c r="J97" s="5">
        <v>104.46</v>
      </c>
      <c r="K97" s="5">
        <v>114.08</v>
      </c>
      <c r="L97" s="5">
        <v>114.08</v>
      </c>
      <c r="M97" s="5">
        <v>61.79</v>
      </c>
      <c r="N97" s="5">
        <v>61.79</v>
      </c>
      <c r="O97" s="5">
        <v>61.79</v>
      </c>
      <c r="P97" s="5">
        <v>61.79</v>
      </c>
    </row>
    <row r="98" spans="1:16" ht="15" customHeight="1" x14ac:dyDescent="0.35">
      <c r="A98" s="1">
        <v>23</v>
      </c>
      <c r="B98" s="5">
        <v>26.45</v>
      </c>
      <c r="C98" s="5">
        <v>38.479999999999997</v>
      </c>
      <c r="D98" s="5">
        <v>70.900000000000006</v>
      </c>
      <c r="E98" s="5">
        <v>76.849999999999994</v>
      </c>
      <c r="F98" s="5">
        <v>80.94</v>
      </c>
      <c r="G98" s="5">
        <v>89.39</v>
      </c>
      <c r="H98" s="5">
        <v>91.19</v>
      </c>
      <c r="I98" s="5">
        <v>107.3</v>
      </c>
      <c r="J98" s="5">
        <v>107.3</v>
      </c>
      <c r="K98" s="5">
        <v>117.58</v>
      </c>
      <c r="L98" s="5">
        <v>117.58</v>
      </c>
      <c r="M98" s="5">
        <v>62.2</v>
      </c>
      <c r="N98" s="5">
        <v>62.2</v>
      </c>
      <c r="O98" s="5">
        <v>62.2</v>
      </c>
      <c r="P98" s="5">
        <v>62.2</v>
      </c>
    </row>
    <row r="99" spans="1:16" ht="15" customHeight="1" x14ac:dyDescent="0.35">
      <c r="A99" s="1">
        <v>24</v>
      </c>
      <c r="B99" s="5">
        <v>27.15</v>
      </c>
      <c r="C99" s="5">
        <v>38.65</v>
      </c>
      <c r="D99" s="5">
        <v>71.92</v>
      </c>
      <c r="E99" s="5">
        <v>79.94</v>
      </c>
      <c r="F99" s="5">
        <v>81.540000000000006</v>
      </c>
      <c r="G99" s="5">
        <v>91.19</v>
      </c>
      <c r="H99" s="5">
        <v>93.02</v>
      </c>
      <c r="I99" s="5">
        <v>109.32</v>
      </c>
      <c r="J99" s="5">
        <v>109.32</v>
      </c>
      <c r="K99" s="5">
        <v>117.93</v>
      </c>
      <c r="L99" s="5">
        <v>117.93</v>
      </c>
      <c r="M99" s="5">
        <v>70.319999999999993</v>
      </c>
      <c r="N99" s="5">
        <v>70.319999999999993</v>
      </c>
      <c r="O99" s="5">
        <v>70.319999999999993</v>
      </c>
      <c r="P99" s="5">
        <v>70.319999999999993</v>
      </c>
    </row>
    <row r="100" spans="1:16" ht="15" customHeight="1" x14ac:dyDescent="0.35">
      <c r="A100" s="1">
        <v>25</v>
      </c>
      <c r="B100" s="5">
        <v>27.29</v>
      </c>
      <c r="C100" s="5">
        <v>38.799999999999997</v>
      </c>
      <c r="D100" s="5">
        <v>74.319999999999993</v>
      </c>
      <c r="E100" s="5">
        <v>80.260000000000005</v>
      </c>
      <c r="F100" s="5">
        <v>83.13</v>
      </c>
      <c r="G100" s="5">
        <v>91.43</v>
      </c>
      <c r="H100" s="5">
        <v>93.26</v>
      </c>
      <c r="I100" s="5">
        <v>112.77</v>
      </c>
      <c r="J100" s="5">
        <v>112.77</v>
      </c>
      <c r="K100" s="5">
        <v>118.63</v>
      </c>
      <c r="L100" s="5">
        <v>118.63</v>
      </c>
      <c r="M100" s="5">
        <v>71.14</v>
      </c>
      <c r="N100" s="5">
        <v>71.14</v>
      </c>
      <c r="O100" s="5">
        <v>71.14</v>
      </c>
      <c r="P100" s="5">
        <v>71.14</v>
      </c>
    </row>
    <row r="101" spans="1:16" ht="15" customHeight="1" x14ac:dyDescent="0.35">
      <c r="A101" s="1">
        <v>26</v>
      </c>
      <c r="B101" s="5">
        <v>28.97</v>
      </c>
      <c r="C101" s="5">
        <v>41.88</v>
      </c>
      <c r="D101" s="5">
        <v>78.62</v>
      </c>
      <c r="E101" s="5">
        <v>84.33</v>
      </c>
      <c r="F101" s="5">
        <v>89.25</v>
      </c>
      <c r="G101" s="5">
        <v>93.72</v>
      </c>
      <c r="H101" s="5">
        <v>97.91</v>
      </c>
      <c r="I101" s="5">
        <v>114.48</v>
      </c>
      <c r="J101" s="5">
        <v>114.48</v>
      </c>
      <c r="K101" s="5">
        <v>122.28</v>
      </c>
      <c r="L101" s="5">
        <v>122.28</v>
      </c>
      <c r="M101" s="5">
        <v>74.98</v>
      </c>
      <c r="N101" s="5">
        <v>74.98</v>
      </c>
      <c r="O101" s="5">
        <v>74.98</v>
      </c>
      <c r="P101" s="5">
        <v>74.98</v>
      </c>
    </row>
    <row r="102" spans="1:16" ht="15" customHeight="1" x14ac:dyDescent="0.35">
      <c r="A102" s="1">
        <v>27</v>
      </c>
      <c r="B102" s="5">
        <v>29.14</v>
      </c>
      <c r="C102" s="5">
        <v>42.2</v>
      </c>
      <c r="D102" s="5">
        <v>79.05</v>
      </c>
      <c r="E102" s="5">
        <v>84.73</v>
      </c>
      <c r="F102" s="5">
        <v>89.87</v>
      </c>
      <c r="G102" s="5">
        <v>94.34</v>
      </c>
      <c r="H102" s="5">
        <v>100.58</v>
      </c>
      <c r="I102" s="5">
        <v>116.85</v>
      </c>
      <c r="J102" s="5">
        <v>116.85</v>
      </c>
      <c r="K102" s="5">
        <v>124.27</v>
      </c>
      <c r="L102" s="5">
        <v>124.27</v>
      </c>
      <c r="M102" s="5">
        <v>75.37</v>
      </c>
      <c r="N102" s="5">
        <v>75.37</v>
      </c>
      <c r="O102" s="5">
        <v>75.37</v>
      </c>
      <c r="P102" s="5">
        <v>75.37</v>
      </c>
    </row>
    <row r="103" spans="1:16" ht="15" customHeight="1" x14ac:dyDescent="0.35">
      <c r="A103" s="1">
        <v>28</v>
      </c>
      <c r="B103" s="5">
        <v>29.75</v>
      </c>
      <c r="C103" s="5">
        <v>42.34</v>
      </c>
      <c r="D103" s="5">
        <v>82.74</v>
      </c>
      <c r="E103" s="5">
        <v>88.75</v>
      </c>
      <c r="F103" s="5">
        <v>92.01</v>
      </c>
      <c r="G103" s="5">
        <v>98.14</v>
      </c>
      <c r="H103" s="5">
        <v>104.82</v>
      </c>
      <c r="I103" s="5">
        <v>119.04</v>
      </c>
      <c r="J103" s="5">
        <v>119.04</v>
      </c>
      <c r="K103" s="5">
        <v>126.84</v>
      </c>
      <c r="L103" s="5">
        <v>126.84</v>
      </c>
      <c r="M103" s="5">
        <v>76.19</v>
      </c>
      <c r="N103" s="5">
        <v>76.19</v>
      </c>
      <c r="O103" s="5">
        <v>76.19</v>
      </c>
      <c r="P103" s="5">
        <v>76.19</v>
      </c>
    </row>
    <row r="104" spans="1:16" ht="15" customHeight="1" x14ac:dyDescent="0.35">
      <c r="A104" s="1">
        <v>29</v>
      </c>
      <c r="B104" s="5">
        <v>29.9</v>
      </c>
      <c r="C104" s="5">
        <v>42.55</v>
      </c>
      <c r="D104" s="5">
        <v>84.63</v>
      </c>
      <c r="E104" s="5">
        <v>89.15</v>
      </c>
      <c r="F104" s="5">
        <v>92.22</v>
      </c>
      <c r="G104" s="5">
        <v>100.97</v>
      </c>
      <c r="H104" s="5">
        <v>105.37</v>
      </c>
      <c r="I104" s="5">
        <v>120.93</v>
      </c>
      <c r="J104" s="5">
        <v>120.93</v>
      </c>
      <c r="K104" s="5">
        <v>129.62</v>
      </c>
      <c r="L104" s="5">
        <v>129.62</v>
      </c>
      <c r="M104" s="5">
        <v>76.39</v>
      </c>
      <c r="N104" s="5">
        <v>76.39</v>
      </c>
      <c r="O104" s="5">
        <v>76.39</v>
      </c>
      <c r="P104" s="5">
        <v>76.39</v>
      </c>
    </row>
    <row r="105" spans="1:16" ht="15" customHeight="1" x14ac:dyDescent="0.35">
      <c r="A105" s="1">
        <v>30</v>
      </c>
      <c r="B105" s="5">
        <v>30.04</v>
      </c>
      <c r="C105" s="5">
        <v>42.63</v>
      </c>
      <c r="D105" s="5">
        <v>84.81</v>
      </c>
      <c r="E105" s="5">
        <v>89.94</v>
      </c>
      <c r="F105" s="5">
        <v>92.63</v>
      </c>
      <c r="G105" s="5">
        <v>101.41</v>
      </c>
      <c r="H105" s="5">
        <v>105.58</v>
      </c>
      <c r="I105" s="5">
        <v>123.13</v>
      </c>
      <c r="J105" s="5">
        <v>123.13</v>
      </c>
      <c r="K105" s="5">
        <v>130.11000000000001</v>
      </c>
      <c r="L105" s="5">
        <v>130.11000000000001</v>
      </c>
      <c r="M105" s="5">
        <v>79.45</v>
      </c>
      <c r="N105" s="5">
        <v>79.45</v>
      </c>
      <c r="O105" s="5">
        <v>79.45</v>
      </c>
      <c r="P105" s="5">
        <v>79.45</v>
      </c>
    </row>
    <row r="106" spans="1:16" ht="15" customHeight="1" x14ac:dyDescent="0.35">
      <c r="A106" s="1">
        <v>31</v>
      </c>
      <c r="B106" s="5">
        <v>31.18</v>
      </c>
      <c r="C106" s="5">
        <v>43.83</v>
      </c>
      <c r="D106" s="5">
        <v>88.42</v>
      </c>
      <c r="E106" s="5">
        <v>93.95</v>
      </c>
      <c r="F106" s="5">
        <v>100.54</v>
      </c>
      <c r="G106" s="5">
        <v>104.88</v>
      </c>
      <c r="H106" s="5">
        <v>107.75</v>
      </c>
      <c r="I106" s="5">
        <v>125.34</v>
      </c>
      <c r="J106" s="5">
        <v>125.34</v>
      </c>
      <c r="K106" s="5">
        <v>134.22999999999999</v>
      </c>
      <c r="L106" s="5">
        <v>134.22999999999999</v>
      </c>
      <c r="M106" s="5">
        <v>82</v>
      </c>
      <c r="N106" s="5">
        <v>82</v>
      </c>
      <c r="O106" s="5">
        <v>82</v>
      </c>
      <c r="P106" s="5">
        <v>82</v>
      </c>
    </row>
    <row r="107" spans="1:16" ht="15" customHeight="1" x14ac:dyDescent="0.35">
      <c r="A107" s="1">
        <v>32</v>
      </c>
      <c r="B107" s="5">
        <v>32.07</v>
      </c>
      <c r="C107" s="5">
        <v>44.89</v>
      </c>
      <c r="D107" s="5">
        <v>90.29</v>
      </c>
      <c r="E107" s="5">
        <v>94.35</v>
      </c>
      <c r="F107" s="5">
        <v>101.33</v>
      </c>
      <c r="G107" s="5">
        <v>105.38</v>
      </c>
      <c r="H107" s="5">
        <v>111.26</v>
      </c>
      <c r="I107" s="5">
        <v>127.72</v>
      </c>
      <c r="J107" s="5">
        <v>127.72</v>
      </c>
      <c r="K107" s="5">
        <v>137.03</v>
      </c>
      <c r="L107" s="5">
        <v>137.03</v>
      </c>
      <c r="M107" s="5">
        <v>82.25</v>
      </c>
      <c r="N107" s="5">
        <v>82.25</v>
      </c>
      <c r="O107" s="5">
        <v>82.25</v>
      </c>
      <c r="P107" s="5">
        <v>82.25</v>
      </c>
    </row>
    <row r="108" spans="1:16" ht="15" customHeight="1" x14ac:dyDescent="0.35">
      <c r="A108" s="1">
        <v>33</v>
      </c>
      <c r="B108" s="5">
        <v>32.83</v>
      </c>
      <c r="C108" s="5">
        <v>47.41</v>
      </c>
      <c r="D108" s="5">
        <v>91.77</v>
      </c>
      <c r="E108" s="5">
        <v>100.66</v>
      </c>
      <c r="F108" s="5">
        <v>103.14</v>
      </c>
      <c r="G108" s="5">
        <v>111.58</v>
      </c>
      <c r="H108" s="5">
        <v>115.7</v>
      </c>
      <c r="I108" s="5">
        <v>130.61000000000001</v>
      </c>
      <c r="J108" s="5">
        <v>130.61000000000001</v>
      </c>
      <c r="K108" s="5">
        <v>139.88999999999999</v>
      </c>
      <c r="L108" s="5">
        <v>139.88999999999999</v>
      </c>
      <c r="M108" s="5">
        <v>82.71</v>
      </c>
      <c r="N108" s="5">
        <v>82.71</v>
      </c>
      <c r="O108" s="5">
        <v>82.71</v>
      </c>
      <c r="P108" s="5">
        <v>82.71</v>
      </c>
    </row>
    <row r="109" spans="1:16" ht="15" customHeight="1" x14ac:dyDescent="0.35">
      <c r="A109" s="1">
        <v>34</v>
      </c>
      <c r="B109" s="5">
        <v>33.54</v>
      </c>
      <c r="C109" s="5">
        <v>47.67</v>
      </c>
      <c r="D109" s="5">
        <v>93.72</v>
      </c>
      <c r="E109" s="5">
        <v>101.29</v>
      </c>
      <c r="F109" s="5">
        <v>103.32</v>
      </c>
      <c r="G109" s="5">
        <v>113.93</v>
      </c>
      <c r="H109" s="5">
        <v>116.21</v>
      </c>
      <c r="I109" s="5">
        <v>132.41</v>
      </c>
      <c r="J109" s="5">
        <v>132.41</v>
      </c>
      <c r="K109" s="5">
        <v>142.47</v>
      </c>
      <c r="L109" s="5">
        <v>142.47</v>
      </c>
      <c r="M109" s="5">
        <v>82.78</v>
      </c>
      <c r="N109" s="5">
        <v>82.78</v>
      </c>
      <c r="O109" s="5">
        <v>82.78</v>
      </c>
      <c r="P109" s="5">
        <v>82.78</v>
      </c>
    </row>
    <row r="110" spans="1:16" ht="15" customHeight="1" x14ac:dyDescent="0.35">
      <c r="A110" s="1">
        <v>35</v>
      </c>
      <c r="B110" s="5">
        <v>34.25</v>
      </c>
      <c r="C110" s="5">
        <v>47.8</v>
      </c>
      <c r="D110" s="5">
        <v>93.92</v>
      </c>
      <c r="E110" s="5">
        <v>101.41</v>
      </c>
      <c r="F110" s="5">
        <v>103.5</v>
      </c>
      <c r="G110" s="5">
        <v>114.99</v>
      </c>
      <c r="H110" s="5">
        <v>117.3</v>
      </c>
      <c r="I110" s="5">
        <v>132.71</v>
      </c>
      <c r="J110" s="5">
        <v>132.71</v>
      </c>
      <c r="K110" s="5">
        <v>145.19999999999999</v>
      </c>
      <c r="L110" s="5">
        <v>145.19999999999999</v>
      </c>
      <c r="M110" s="5">
        <v>83.38</v>
      </c>
      <c r="N110" s="5">
        <v>83.38</v>
      </c>
      <c r="O110" s="5">
        <v>83.38</v>
      </c>
      <c r="P110" s="5">
        <v>83.38</v>
      </c>
    </row>
    <row r="111" spans="1:16" ht="15" customHeight="1" x14ac:dyDescent="0.35">
      <c r="A111" s="1">
        <v>36</v>
      </c>
      <c r="B111" s="5">
        <v>35.68</v>
      </c>
      <c r="C111" s="5">
        <v>48.75</v>
      </c>
      <c r="D111" s="5">
        <v>97.63</v>
      </c>
      <c r="E111" s="5">
        <v>103.45</v>
      </c>
      <c r="F111" s="5">
        <v>107.13</v>
      </c>
      <c r="G111" s="5">
        <v>116.69</v>
      </c>
      <c r="H111" s="5">
        <v>119.79</v>
      </c>
      <c r="I111" s="5">
        <v>138.6</v>
      </c>
      <c r="J111" s="5">
        <v>138.6</v>
      </c>
      <c r="K111" s="5">
        <v>148.35</v>
      </c>
      <c r="L111" s="5">
        <v>148.35</v>
      </c>
      <c r="M111" s="5">
        <v>95.18</v>
      </c>
      <c r="N111" s="5">
        <v>95.18</v>
      </c>
      <c r="O111" s="5">
        <v>95.18</v>
      </c>
      <c r="P111" s="5">
        <v>95.18</v>
      </c>
    </row>
    <row r="112" spans="1:16" ht="15" customHeight="1" x14ac:dyDescent="0.35">
      <c r="A112" s="1">
        <v>37</v>
      </c>
      <c r="B112" s="5">
        <v>35.82</v>
      </c>
      <c r="C112" s="5">
        <v>52.02</v>
      </c>
      <c r="D112" s="5">
        <v>99.91</v>
      </c>
      <c r="E112" s="5">
        <v>106.95</v>
      </c>
      <c r="F112" s="5">
        <v>112.35</v>
      </c>
      <c r="G112" s="5">
        <v>120.52</v>
      </c>
      <c r="H112" s="5">
        <v>123.85</v>
      </c>
      <c r="I112" s="5">
        <v>141.58000000000001</v>
      </c>
      <c r="J112" s="5">
        <v>141.58000000000001</v>
      </c>
      <c r="K112" s="5">
        <v>150.68</v>
      </c>
      <c r="L112" s="5">
        <v>150.68</v>
      </c>
      <c r="M112" s="5">
        <v>98.32</v>
      </c>
      <c r="N112" s="5">
        <v>98.32</v>
      </c>
      <c r="O112" s="5">
        <v>98.32</v>
      </c>
      <c r="P112" s="5">
        <v>98.32</v>
      </c>
    </row>
    <row r="113" spans="1:16" ht="15" customHeight="1" x14ac:dyDescent="0.35">
      <c r="A113" s="1">
        <v>38</v>
      </c>
      <c r="B113" s="5">
        <v>35.9</v>
      </c>
      <c r="C113" s="5">
        <v>52.35</v>
      </c>
      <c r="D113" s="5">
        <v>101.47</v>
      </c>
      <c r="E113" s="5">
        <v>108.9</v>
      </c>
      <c r="F113" s="5">
        <v>114.15</v>
      </c>
      <c r="G113" s="5">
        <v>120.91</v>
      </c>
      <c r="H113" s="5">
        <v>124.26</v>
      </c>
      <c r="I113" s="5">
        <v>144.19999999999999</v>
      </c>
      <c r="J113" s="5">
        <v>144.19999999999999</v>
      </c>
      <c r="K113" s="5">
        <v>152.99</v>
      </c>
      <c r="L113" s="5">
        <v>152.99</v>
      </c>
      <c r="M113" s="5">
        <v>102.74</v>
      </c>
      <c r="N113" s="5">
        <v>102.74</v>
      </c>
      <c r="O113" s="5">
        <v>102.74</v>
      </c>
      <c r="P113" s="5">
        <v>102.74</v>
      </c>
    </row>
    <row r="114" spans="1:16" ht="15" customHeight="1" x14ac:dyDescent="0.35">
      <c r="A114" s="1">
        <v>39</v>
      </c>
      <c r="B114" s="5">
        <v>36.049999999999997</v>
      </c>
      <c r="C114" s="5">
        <v>52.48</v>
      </c>
      <c r="D114" s="5">
        <v>103.23</v>
      </c>
      <c r="E114" s="5">
        <v>110.36</v>
      </c>
      <c r="F114" s="5">
        <v>114.33</v>
      </c>
      <c r="G114" s="5">
        <v>121.14</v>
      </c>
      <c r="H114" s="5">
        <v>124.63</v>
      </c>
      <c r="I114" s="5">
        <v>147.03</v>
      </c>
      <c r="J114" s="5">
        <v>147.03</v>
      </c>
      <c r="K114" s="5">
        <v>153.22999999999999</v>
      </c>
      <c r="L114" s="5">
        <v>153.22999999999999</v>
      </c>
      <c r="M114" s="5">
        <v>103.19</v>
      </c>
      <c r="N114" s="5">
        <v>103.19</v>
      </c>
      <c r="O114" s="5">
        <v>103.19</v>
      </c>
      <c r="P114" s="5">
        <v>103.19</v>
      </c>
    </row>
    <row r="115" spans="1:16" ht="15" customHeight="1" x14ac:dyDescent="0.35">
      <c r="A115" s="1">
        <v>40</v>
      </c>
      <c r="B115" s="5">
        <v>36.130000000000003</v>
      </c>
      <c r="C115" s="5">
        <v>52.62</v>
      </c>
      <c r="D115" s="5">
        <v>103.41</v>
      </c>
      <c r="E115" s="5">
        <v>110.5</v>
      </c>
      <c r="F115" s="5">
        <v>114.65</v>
      </c>
      <c r="G115" s="5">
        <v>124.27</v>
      </c>
      <c r="H115" s="5">
        <v>126.75</v>
      </c>
      <c r="I115" s="5">
        <v>149.97</v>
      </c>
      <c r="J115" s="5">
        <v>149.97</v>
      </c>
      <c r="K115" s="5">
        <v>153.63999999999999</v>
      </c>
      <c r="L115" s="5">
        <v>153.63999999999999</v>
      </c>
      <c r="M115" s="5">
        <v>103.27</v>
      </c>
      <c r="N115" s="5">
        <v>103.27</v>
      </c>
      <c r="O115" s="5">
        <v>103.27</v>
      </c>
      <c r="P115" s="5">
        <v>103.27</v>
      </c>
    </row>
    <row r="116" spans="1:16" ht="15" customHeight="1" x14ac:dyDescent="0.35">
      <c r="A116" s="1">
        <v>41</v>
      </c>
      <c r="B116" s="5">
        <v>37.729999999999997</v>
      </c>
      <c r="C116" s="5">
        <v>55.12</v>
      </c>
      <c r="D116" s="5">
        <v>107</v>
      </c>
      <c r="E116" s="5">
        <v>113.33</v>
      </c>
      <c r="F116" s="5">
        <v>120.99</v>
      </c>
      <c r="G116" s="5">
        <v>126.03</v>
      </c>
      <c r="H116" s="5">
        <v>130.38</v>
      </c>
      <c r="I116" s="5">
        <v>152.93</v>
      </c>
      <c r="J116" s="5">
        <v>152.93</v>
      </c>
      <c r="K116" s="5">
        <v>161.88999999999999</v>
      </c>
      <c r="L116" s="5">
        <v>161.88999999999999</v>
      </c>
      <c r="M116" s="5">
        <v>103.34</v>
      </c>
      <c r="N116" s="5">
        <v>103.34</v>
      </c>
      <c r="O116" s="5">
        <v>103.34</v>
      </c>
      <c r="P116" s="5">
        <v>103.34</v>
      </c>
    </row>
    <row r="117" spans="1:16" ht="15" customHeight="1" x14ac:dyDescent="0.35">
      <c r="A117" s="1">
        <v>42</v>
      </c>
      <c r="B117" s="5">
        <v>38.29</v>
      </c>
      <c r="C117" s="5">
        <v>55.37</v>
      </c>
      <c r="D117" s="5">
        <v>108.37</v>
      </c>
      <c r="E117" s="5">
        <v>115.06</v>
      </c>
      <c r="F117" s="5">
        <v>121.63</v>
      </c>
      <c r="G117" s="5">
        <v>126.5</v>
      </c>
      <c r="H117" s="5">
        <v>135.18</v>
      </c>
      <c r="I117" s="5">
        <v>156.03</v>
      </c>
      <c r="J117" s="5">
        <v>156.03</v>
      </c>
      <c r="K117" s="5">
        <v>162.71</v>
      </c>
      <c r="L117" s="5">
        <v>162.71</v>
      </c>
      <c r="M117" s="5">
        <v>103.42</v>
      </c>
      <c r="N117" s="5">
        <v>103.42</v>
      </c>
      <c r="O117" s="5">
        <v>103.42</v>
      </c>
      <c r="P117" s="5">
        <v>103.42</v>
      </c>
    </row>
    <row r="118" spans="1:16" ht="15" customHeight="1" x14ac:dyDescent="0.35">
      <c r="A118" s="1">
        <v>43</v>
      </c>
      <c r="B118" s="5">
        <v>39.31</v>
      </c>
      <c r="C118" s="5">
        <v>56.26</v>
      </c>
      <c r="D118" s="5">
        <v>111.15</v>
      </c>
      <c r="E118" s="5">
        <v>118.14</v>
      </c>
      <c r="F118" s="5">
        <v>123.85</v>
      </c>
      <c r="G118" s="5">
        <v>132.66</v>
      </c>
      <c r="H118" s="5">
        <v>139.11000000000001</v>
      </c>
      <c r="I118" s="5">
        <v>159.18</v>
      </c>
      <c r="J118" s="5">
        <v>159.18</v>
      </c>
      <c r="K118" s="5">
        <v>163.07</v>
      </c>
      <c r="L118" s="5">
        <v>163.07</v>
      </c>
      <c r="M118" s="5">
        <v>103.49</v>
      </c>
      <c r="N118" s="5">
        <v>103.49</v>
      </c>
      <c r="O118" s="5">
        <v>103.49</v>
      </c>
      <c r="P118" s="5">
        <v>103.49</v>
      </c>
    </row>
    <row r="119" spans="1:16" ht="15" customHeight="1" x14ac:dyDescent="0.35">
      <c r="A119" s="1">
        <v>44</v>
      </c>
      <c r="B119" s="5">
        <v>40.200000000000003</v>
      </c>
      <c r="C119" s="5">
        <v>59.21</v>
      </c>
      <c r="D119" s="5">
        <v>113</v>
      </c>
      <c r="E119" s="5">
        <v>121.38</v>
      </c>
      <c r="F119" s="5">
        <v>126</v>
      </c>
      <c r="G119" s="5">
        <v>134.81</v>
      </c>
      <c r="H119" s="5">
        <v>143.24</v>
      </c>
      <c r="I119" s="5">
        <v>162.62</v>
      </c>
      <c r="J119" s="5">
        <v>162.62</v>
      </c>
      <c r="K119" s="5">
        <v>170.3</v>
      </c>
      <c r="L119" s="5">
        <v>170.3</v>
      </c>
      <c r="M119" s="5">
        <v>103.57</v>
      </c>
      <c r="N119" s="5">
        <v>103.57</v>
      </c>
      <c r="O119" s="5">
        <v>103.57</v>
      </c>
      <c r="P119" s="5">
        <v>103.57</v>
      </c>
    </row>
    <row r="120" spans="1:16" ht="15" customHeight="1" x14ac:dyDescent="0.35">
      <c r="A120" s="1">
        <v>45</v>
      </c>
      <c r="B120" s="5">
        <v>42.11</v>
      </c>
      <c r="C120" s="5">
        <v>61.51</v>
      </c>
      <c r="D120" s="5">
        <v>114.23</v>
      </c>
      <c r="E120" s="5">
        <v>122.58</v>
      </c>
      <c r="F120" s="5">
        <v>126.24</v>
      </c>
      <c r="G120" s="5">
        <v>137</v>
      </c>
      <c r="H120" s="5">
        <v>143.65</v>
      </c>
      <c r="I120" s="5">
        <v>165.2</v>
      </c>
      <c r="J120" s="5">
        <v>165.2</v>
      </c>
      <c r="K120" s="5">
        <v>171.15</v>
      </c>
      <c r="L120" s="5">
        <v>171.15</v>
      </c>
      <c r="M120" s="5">
        <v>103.65</v>
      </c>
      <c r="N120" s="5">
        <v>103.65</v>
      </c>
      <c r="O120" s="5">
        <v>103.65</v>
      </c>
      <c r="P120" s="5">
        <v>103.65</v>
      </c>
    </row>
    <row r="121" spans="1:16" ht="15" customHeight="1" x14ac:dyDescent="0.35">
      <c r="A121" s="1">
        <v>46</v>
      </c>
      <c r="B121" s="5">
        <v>43.27</v>
      </c>
      <c r="C121" s="5">
        <v>61.75</v>
      </c>
      <c r="D121" s="5">
        <v>116.06</v>
      </c>
      <c r="E121" s="5">
        <v>125.93</v>
      </c>
      <c r="F121" s="5">
        <v>130.61000000000001</v>
      </c>
      <c r="G121" s="5">
        <v>138.56</v>
      </c>
      <c r="H121" s="5">
        <v>149.21</v>
      </c>
      <c r="I121" s="5">
        <v>171.06</v>
      </c>
      <c r="J121" s="5">
        <v>171.06</v>
      </c>
      <c r="K121" s="5">
        <v>175.92</v>
      </c>
      <c r="L121" s="5">
        <v>175.92</v>
      </c>
      <c r="M121" s="5">
        <v>103.73</v>
      </c>
      <c r="N121" s="5">
        <v>103.73</v>
      </c>
      <c r="O121" s="5">
        <v>103.73</v>
      </c>
      <c r="P121" s="5">
        <v>103.73</v>
      </c>
    </row>
    <row r="122" spans="1:16" ht="15" customHeight="1" x14ac:dyDescent="0.35">
      <c r="A122" s="1">
        <v>47</v>
      </c>
      <c r="B122" s="5">
        <v>43.88</v>
      </c>
      <c r="C122" s="5">
        <v>62.64</v>
      </c>
      <c r="D122" s="5">
        <v>116.24</v>
      </c>
      <c r="E122" s="5">
        <v>126.42</v>
      </c>
      <c r="F122" s="5">
        <v>131.19</v>
      </c>
      <c r="G122" s="5">
        <v>138.97</v>
      </c>
      <c r="H122" s="5">
        <v>149.76</v>
      </c>
      <c r="I122" s="5">
        <v>173.8</v>
      </c>
      <c r="J122" s="5">
        <v>173.8</v>
      </c>
      <c r="K122" s="5">
        <v>177.28</v>
      </c>
      <c r="L122" s="5">
        <v>177.28</v>
      </c>
      <c r="M122" s="5">
        <v>103.81</v>
      </c>
      <c r="N122" s="5">
        <v>103.81</v>
      </c>
      <c r="O122" s="5">
        <v>103.81</v>
      </c>
      <c r="P122" s="5">
        <v>103.81</v>
      </c>
    </row>
    <row r="123" spans="1:16" ht="15" customHeight="1" x14ac:dyDescent="0.35">
      <c r="A123" s="1">
        <v>48</v>
      </c>
      <c r="B123" s="5">
        <v>43.96</v>
      </c>
      <c r="C123" s="5">
        <v>62.78</v>
      </c>
      <c r="D123" s="5">
        <v>116.3</v>
      </c>
      <c r="E123" s="5">
        <v>127.33</v>
      </c>
      <c r="F123" s="5">
        <v>131.26</v>
      </c>
      <c r="G123" s="5">
        <v>141.49</v>
      </c>
      <c r="H123" s="5">
        <v>149.86000000000001</v>
      </c>
      <c r="I123" s="5">
        <v>174.08</v>
      </c>
      <c r="J123" s="5">
        <v>174.08</v>
      </c>
      <c r="K123" s="5">
        <v>179.87</v>
      </c>
      <c r="L123" s="5">
        <v>179.87</v>
      </c>
      <c r="M123" s="5">
        <v>103.89</v>
      </c>
      <c r="N123" s="5">
        <v>103.89</v>
      </c>
      <c r="O123" s="5">
        <v>103.89</v>
      </c>
      <c r="P123" s="5">
        <v>103.89</v>
      </c>
    </row>
    <row r="124" spans="1:16" ht="15" customHeight="1" x14ac:dyDescent="0.35">
      <c r="A124" s="1">
        <v>49</v>
      </c>
      <c r="B124" s="5">
        <v>44.03</v>
      </c>
      <c r="C124" s="5">
        <v>62.85</v>
      </c>
      <c r="D124" s="5">
        <v>116.36</v>
      </c>
      <c r="E124" s="5">
        <v>127.43</v>
      </c>
      <c r="F124" s="5">
        <v>131.31</v>
      </c>
      <c r="G124" s="5">
        <v>141.75</v>
      </c>
      <c r="H124" s="5">
        <v>149.93</v>
      </c>
      <c r="I124" s="5">
        <v>176.59</v>
      </c>
      <c r="J124" s="5">
        <v>176.59</v>
      </c>
      <c r="K124" s="5">
        <v>180.13</v>
      </c>
      <c r="L124" s="5">
        <v>180.13</v>
      </c>
      <c r="M124" s="5">
        <v>104.06</v>
      </c>
      <c r="N124" s="5">
        <v>104.06</v>
      </c>
      <c r="O124" s="5">
        <v>104.06</v>
      </c>
      <c r="P124" s="5">
        <v>104.06</v>
      </c>
    </row>
    <row r="125" spans="1:16" ht="15" customHeight="1" x14ac:dyDescent="0.35">
      <c r="A125" s="1">
        <v>50</v>
      </c>
      <c r="B125" s="5">
        <v>44.28</v>
      </c>
      <c r="C125" s="5">
        <v>63.21</v>
      </c>
      <c r="D125" s="5">
        <v>116.82</v>
      </c>
      <c r="E125" s="5">
        <v>128.04</v>
      </c>
      <c r="F125" s="5">
        <v>131.87</v>
      </c>
      <c r="G125" s="5">
        <v>142.33000000000001</v>
      </c>
      <c r="H125" s="5">
        <v>150.36000000000001</v>
      </c>
      <c r="I125" s="5">
        <v>177.02</v>
      </c>
      <c r="J125" s="5">
        <v>177.02</v>
      </c>
      <c r="K125" s="5">
        <v>182.93</v>
      </c>
      <c r="L125" s="5">
        <v>182.93</v>
      </c>
      <c r="M125" s="5">
        <v>104.23</v>
      </c>
      <c r="N125" s="5">
        <v>104.23</v>
      </c>
      <c r="O125" s="5">
        <v>104.23</v>
      </c>
      <c r="P125" s="5">
        <v>104.23</v>
      </c>
    </row>
    <row r="126" spans="1:16" ht="15" customHeight="1" x14ac:dyDescent="0.35">
      <c r="A126" s="1">
        <v>51</v>
      </c>
      <c r="B126" s="5">
        <v>49.28</v>
      </c>
      <c r="C126" s="5">
        <v>70.25</v>
      </c>
      <c r="D126" s="5">
        <v>126.09</v>
      </c>
      <c r="E126" s="5">
        <v>140.38</v>
      </c>
      <c r="F126" s="5">
        <v>143.22</v>
      </c>
      <c r="G126" s="5">
        <v>154</v>
      </c>
      <c r="H126" s="5">
        <v>157.08000000000001</v>
      </c>
      <c r="I126" s="5">
        <v>184.13</v>
      </c>
      <c r="J126" s="5">
        <v>184.13</v>
      </c>
      <c r="K126" s="5">
        <v>194.15</v>
      </c>
      <c r="L126" s="5">
        <v>194.15</v>
      </c>
      <c r="M126" s="5">
        <v>107.43</v>
      </c>
      <c r="N126" s="5">
        <v>107.43</v>
      </c>
      <c r="O126" s="5">
        <v>107.43</v>
      </c>
      <c r="P126" s="5">
        <v>107.43</v>
      </c>
    </row>
    <row r="127" spans="1:16" ht="15" customHeight="1" x14ac:dyDescent="0.35">
      <c r="A127" s="1">
        <v>52</v>
      </c>
      <c r="B127" s="5">
        <v>50.03</v>
      </c>
      <c r="C127" s="5">
        <v>73.92</v>
      </c>
      <c r="D127" s="5">
        <v>135.13999999999999</v>
      </c>
      <c r="E127" s="5">
        <v>143.12</v>
      </c>
      <c r="F127" s="5">
        <v>148.47</v>
      </c>
      <c r="G127" s="5">
        <v>161.01</v>
      </c>
      <c r="H127" s="5">
        <v>168.22</v>
      </c>
      <c r="I127" s="5">
        <v>193.84</v>
      </c>
      <c r="J127" s="5">
        <v>193.84</v>
      </c>
      <c r="K127" s="5">
        <v>197.72</v>
      </c>
      <c r="L127" s="5">
        <v>197.72</v>
      </c>
      <c r="M127" s="5">
        <v>111.82</v>
      </c>
      <c r="N127" s="5">
        <v>111.82</v>
      </c>
      <c r="O127" s="5">
        <v>111.82</v>
      </c>
      <c r="P127" s="5">
        <v>111.82</v>
      </c>
    </row>
    <row r="128" spans="1:16" ht="15" customHeight="1" x14ac:dyDescent="0.35">
      <c r="A128" s="1">
        <v>53</v>
      </c>
      <c r="B128" s="5">
        <v>50.57</v>
      </c>
      <c r="C128" s="5">
        <v>74.290000000000006</v>
      </c>
      <c r="D128" s="5">
        <v>136.04</v>
      </c>
      <c r="E128" s="5">
        <v>145.94</v>
      </c>
      <c r="F128" s="5">
        <v>149</v>
      </c>
      <c r="G128" s="5">
        <v>165.7</v>
      </c>
      <c r="H128" s="5">
        <v>169.33</v>
      </c>
      <c r="I128" s="5">
        <v>194.82</v>
      </c>
      <c r="J128" s="5">
        <v>194.82</v>
      </c>
      <c r="K128" s="5">
        <v>198.71</v>
      </c>
      <c r="L128" s="5">
        <v>198.71</v>
      </c>
      <c r="M128" s="5">
        <v>112.4</v>
      </c>
      <c r="N128" s="5">
        <v>112.4</v>
      </c>
      <c r="O128" s="5">
        <v>112.4</v>
      </c>
      <c r="P128" s="5">
        <v>112.4</v>
      </c>
    </row>
    <row r="129" spans="1:16" ht="15" customHeight="1" x14ac:dyDescent="0.35">
      <c r="A129" s="1">
        <v>54</v>
      </c>
      <c r="B129" s="5">
        <v>50.73</v>
      </c>
      <c r="C129" s="5">
        <v>74.45</v>
      </c>
      <c r="D129" s="5">
        <v>136.19</v>
      </c>
      <c r="E129" s="5">
        <v>146.22999999999999</v>
      </c>
      <c r="F129" s="5">
        <v>149.15</v>
      </c>
      <c r="G129" s="5">
        <v>166.18</v>
      </c>
      <c r="H129" s="5">
        <v>169.5</v>
      </c>
      <c r="I129" s="5">
        <v>201.41</v>
      </c>
      <c r="J129" s="5">
        <v>201.41</v>
      </c>
      <c r="K129" s="5">
        <v>205.44</v>
      </c>
      <c r="L129" s="5">
        <v>205.44</v>
      </c>
      <c r="M129" s="5">
        <v>112.65</v>
      </c>
      <c r="N129" s="5">
        <v>112.65</v>
      </c>
      <c r="O129" s="5">
        <v>112.65</v>
      </c>
      <c r="P129" s="5">
        <v>112.65</v>
      </c>
    </row>
    <row r="130" spans="1:16" ht="15" customHeight="1" x14ac:dyDescent="0.35">
      <c r="A130" s="1">
        <v>55</v>
      </c>
      <c r="B130" s="5">
        <v>50.92</v>
      </c>
      <c r="C130" s="5">
        <v>75.739999999999995</v>
      </c>
      <c r="D130" s="5">
        <v>137.18</v>
      </c>
      <c r="E130" s="5">
        <v>146.59</v>
      </c>
      <c r="F130" s="5">
        <v>149.52000000000001</v>
      </c>
      <c r="G130" s="5">
        <v>169.24</v>
      </c>
      <c r="H130" s="5">
        <v>172.69</v>
      </c>
      <c r="I130" s="5">
        <v>202.07</v>
      </c>
      <c r="J130" s="5">
        <v>202.07</v>
      </c>
      <c r="K130" s="5">
        <v>206.11</v>
      </c>
      <c r="L130" s="5">
        <v>206.11</v>
      </c>
      <c r="M130" s="5">
        <v>117.62</v>
      </c>
      <c r="N130" s="5">
        <v>117.62</v>
      </c>
      <c r="O130" s="5">
        <v>117.62</v>
      </c>
      <c r="P130" s="5">
        <v>117.62</v>
      </c>
    </row>
    <row r="131" spans="1:16" ht="15" customHeight="1" x14ac:dyDescent="0.35">
      <c r="A131" s="1">
        <v>56</v>
      </c>
      <c r="B131" s="5">
        <v>54.61</v>
      </c>
      <c r="C131" s="5">
        <v>79.98</v>
      </c>
      <c r="D131" s="5">
        <v>137.32</v>
      </c>
      <c r="E131" s="5">
        <v>150.61000000000001</v>
      </c>
      <c r="F131" s="5">
        <v>153.62</v>
      </c>
      <c r="G131" s="5">
        <v>169.53</v>
      </c>
      <c r="H131" s="5">
        <v>173.02</v>
      </c>
      <c r="I131" s="5">
        <v>205.58</v>
      </c>
      <c r="J131" s="5">
        <v>205.58</v>
      </c>
      <c r="K131" s="5">
        <v>209.69</v>
      </c>
      <c r="L131" s="5">
        <v>209.69</v>
      </c>
      <c r="M131" s="5">
        <v>118.14</v>
      </c>
      <c r="N131" s="5">
        <v>118.14</v>
      </c>
      <c r="O131" s="5">
        <v>118.14</v>
      </c>
      <c r="P131" s="5">
        <v>118.14</v>
      </c>
    </row>
    <row r="132" spans="1:16" ht="15" customHeight="1" x14ac:dyDescent="0.35">
      <c r="A132" s="1">
        <v>57</v>
      </c>
      <c r="B132" s="5">
        <v>55.08</v>
      </c>
      <c r="C132" s="5">
        <v>80.78</v>
      </c>
      <c r="D132" s="5">
        <v>137.58000000000001</v>
      </c>
      <c r="E132" s="5">
        <v>151.01</v>
      </c>
      <c r="F132" s="5">
        <v>154.33000000000001</v>
      </c>
      <c r="G132" s="5">
        <v>169.76</v>
      </c>
      <c r="H132" s="5">
        <v>173.16</v>
      </c>
      <c r="I132" s="5">
        <v>206.04</v>
      </c>
      <c r="J132" s="5">
        <v>206.04</v>
      </c>
      <c r="K132" s="5">
        <v>211.76</v>
      </c>
      <c r="L132" s="5">
        <v>211.76</v>
      </c>
      <c r="M132" s="5">
        <v>128.61000000000001</v>
      </c>
      <c r="N132" s="5">
        <v>128.61000000000001</v>
      </c>
      <c r="O132" s="5">
        <v>128.61000000000001</v>
      </c>
      <c r="P132" s="5">
        <v>128.61000000000001</v>
      </c>
    </row>
    <row r="133" spans="1:16" ht="15" customHeight="1" x14ac:dyDescent="0.35">
      <c r="A133" s="1">
        <v>58</v>
      </c>
      <c r="B133" s="5">
        <v>55.24</v>
      </c>
      <c r="C133" s="5">
        <v>81.13</v>
      </c>
      <c r="D133" s="5">
        <v>137.74</v>
      </c>
      <c r="E133" s="5">
        <v>151.16</v>
      </c>
      <c r="F133" s="5">
        <v>157.47999999999999</v>
      </c>
      <c r="G133" s="5">
        <v>170.22</v>
      </c>
      <c r="H133" s="5">
        <v>173.62</v>
      </c>
      <c r="I133" s="5">
        <v>214.88</v>
      </c>
      <c r="J133" s="5">
        <v>214.88</v>
      </c>
      <c r="K133" s="5">
        <v>219.33</v>
      </c>
      <c r="L133" s="5">
        <v>219.33</v>
      </c>
      <c r="M133" s="5">
        <v>129.66</v>
      </c>
      <c r="N133" s="5">
        <v>129.66</v>
      </c>
      <c r="O133" s="5">
        <v>129.66</v>
      </c>
      <c r="P133" s="5">
        <v>129.66</v>
      </c>
    </row>
    <row r="134" spans="1:16" ht="15" customHeight="1" x14ac:dyDescent="0.35">
      <c r="A134" s="1">
        <v>59</v>
      </c>
      <c r="B134" s="5">
        <v>55.39</v>
      </c>
      <c r="C134" s="5">
        <v>81.290000000000006</v>
      </c>
      <c r="D134" s="5">
        <v>141.02000000000001</v>
      </c>
      <c r="E134" s="5">
        <v>153.43</v>
      </c>
      <c r="F134" s="5">
        <v>157.81</v>
      </c>
      <c r="G134" s="5">
        <v>170.7</v>
      </c>
      <c r="H134" s="5">
        <v>182.84</v>
      </c>
      <c r="I134" s="5">
        <v>215.77</v>
      </c>
      <c r="J134" s="5">
        <v>215.77</v>
      </c>
      <c r="K134" s="5">
        <v>220.08</v>
      </c>
      <c r="L134" s="5">
        <v>220.08</v>
      </c>
      <c r="M134" s="5">
        <v>129.81</v>
      </c>
      <c r="N134" s="5">
        <v>129.81</v>
      </c>
      <c r="O134" s="5">
        <v>129.81</v>
      </c>
      <c r="P134" s="5">
        <v>129.81</v>
      </c>
    </row>
    <row r="135" spans="1:16" ht="15" customHeight="1" x14ac:dyDescent="0.35">
      <c r="A135" s="1">
        <v>60</v>
      </c>
      <c r="B135" s="5">
        <v>55.55</v>
      </c>
      <c r="C135" s="5">
        <v>81.44</v>
      </c>
      <c r="D135" s="5">
        <v>141.35</v>
      </c>
      <c r="E135" s="5">
        <v>153.66999999999999</v>
      </c>
      <c r="F135" s="5">
        <v>158.13</v>
      </c>
      <c r="G135" s="5">
        <v>180.14</v>
      </c>
      <c r="H135" s="5">
        <v>183.75</v>
      </c>
      <c r="I135" s="5">
        <v>218.03</v>
      </c>
      <c r="J135" s="5">
        <v>218.03</v>
      </c>
      <c r="K135" s="5">
        <v>225.31</v>
      </c>
      <c r="L135" s="5">
        <v>225.31</v>
      </c>
      <c r="M135" s="5">
        <v>130</v>
      </c>
      <c r="N135" s="5">
        <v>130</v>
      </c>
      <c r="O135" s="5">
        <v>130</v>
      </c>
      <c r="P135" s="5">
        <v>130</v>
      </c>
    </row>
    <row r="136" spans="1:16" ht="15" customHeight="1" x14ac:dyDescent="0.35">
      <c r="A136" s="1">
        <v>61</v>
      </c>
      <c r="B136" s="5">
        <v>58.45</v>
      </c>
      <c r="C136" s="5">
        <v>84.31</v>
      </c>
      <c r="D136" s="5">
        <v>147.03</v>
      </c>
      <c r="E136" s="5">
        <v>158.11000000000001</v>
      </c>
      <c r="F136" s="5">
        <v>164.54</v>
      </c>
      <c r="G136" s="5">
        <v>185.78</v>
      </c>
      <c r="H136" s="5">
        <v>189.5</v>
      </c>
      <c r="I136" s="5">
        <v>221.79</v>
      </c>
      <c r="J136" s="5">
        <v>221.79</v>
      </c>
      <c r="K136" s="5">
        <v>229.19</v>
      </c>
      <c r="L136" s="5">
        <v>229.19</v>
      </c>
      <c r="M136" s="5">
        <v>131.54</v>
      </c>
      <c r="N136" s="5">
        <v>131.54</v>
      </c>
      <c r="O136" s="5">
        <v>131.54</v>
      </c>
      <c r="P136" s="5">
        <v>131.54</v>
      </c>
    </row>
    <row r="137" spans="1:16" ht="15" customHeight="1" x14ac:dyDescent="0.35">
      <c r="A137" s="1">
        <v>62</v>
      </c>
      <c r="B137" s="5">
        <v>59.12</v>
      </c>
      <c r="C137" s="5">
        <v>86.92</v>
      </c>
      <c r="D137" s="5">
        <v>149.27000000000001</v>
      </c>
      <c r="E137" s="5">
        <v>160.08000000000001</v>
      </c>
      <c r="F137" s="5">
        <v>165.2</v>
      </c>
      <c r="G137" s="5">
        <v>188.44</v>
      </c>
      <c r="H137" s="5">
        <v>194.06</v>
      </c>
      <c r="I137" s="5">
        <v>222.17</v>
      </c>
      <c r="J137" s="5">
        <v>222.17</v>
      </c>
      <c r="K137" s="5">
        <v>229.59</v>
      </c>
      <c r="L137" s="5">
        <v>229.59</v>
      </c>
      <c r="M137" s="5">
        <v>131.88999999999999</v>
      </c>
      <c r="N137" s="5">
        <v>131.88999999999999</v>
      </c>
      <c r="O137" s="5">
        <v>131.88999999999999</v>
      </c>
      <c r="P137" s="5">
        <v>131.88999999999999</v>
      </c>
    </row>
    <row r="138" spans="1:16" ht="15" customHeight="1" x14ac:dyDescent="0.35">
      <c r="A138" s="1">
        <v>63</v>
      </c>
      <c r="B138" s="5">
        <v>59.29</v>
      </c>
      <c r="C138" s="5">
        <v>87.2</v>
      </c>
      <c r="D138" s="5">
        <v>150.61000000000001</v>
      </c>
      <c r="E138" s="5">
        <v>160.31</v>
      </c>
      <c r="F138" s="5">
        <v>165.97</v>
      </c>
      <c r="G138" s="5">
        <v>191.12</v>
      </c>
      <c r="H138" s="5">
        <v>194.94</v>
      </c>
      <c r="I138" s="5">
        <v>225.39</v>
      </c>
      <c r="J138" s="5">
        <v>225.39</v>
      </c>
      <c r="K138" s="5">
        <v>229.9</v>
      </c>
      <c r="L138" s="5">
        <v>229.9</v>
      </c>
      <c r="M138" s="5">
        <v>138.4</v>
      </c>
      <c r="N138" s="5">
        <v>138.4</v>
      </c>
      <c r="O138" s="5">
        <v>138.4</v>
      </c>
      <c r="P138" s="5">
        <v>138.4</v>
      </c>
    </row>
    <row r="139" spans="1:16" ht="15" customHeight="1" x14ac:dyDescent="0.35">
      <c r="A139" s="1">
        <v>64</v>
      </c>
      <c r="B139" s="5">
        <v>62.25</v>
      </c>
      <c r="C139" s="5">
        <v>89.96</v>
      </c>
      <c r="D139" s="5">
        <v>150.76</v>
      </c>
      <c r="E139" s="5">
        <v>164.81</v>
      </c>
      <c r="F139" s="5">
        <v>171.11</v>
      </c>
      <c r="G139" s="5">
        <v>194.58</v>
      </c>
      <c r="H139" s="5">
        <v>202.16</v>
      </c>
      <c r="I139" s="5">
        <v>228.41</v>
      </c>
      <c r="J139" s="5">
        <v>228.41</v>
      </c>
      <c r="K139" s="5">
        <v>232.98</v>
      </c>
      <c r="L139" s="5">
        <v>232.98</v>
      </c>
      <c r="M139" s="5">
        <v>139.06</v>
      </c>
      <c r="N139" s="5">
        <v>139.06</v>
      </c>
      <c r="O139" s="5">
        <v>139.06</v>
      </c>
      <c r="P139" s="5">
        <v>139.06</v>
      </c>
    </row>
    <row r="140" spans="1:16" ht="15" customHeight="1" x14ac:dyDescent="0.35">
      <c r="A140" s="1">
        <v>65</v>
      </c>
      <c r="B140" s="5">
        <v>62.55</v>
      </c>
      <c r="C140" s="5">
        <v>90.56</v>
      </c>
      <c r="D140" s="5">
        <v>152.05000000000001</v>
      </c>
      <c r="E140" s="5">
        <v>166.6</v>
      </c>
      <c r="F140" s="5">
        <v>172.18</v>
      </c>
      <c r="G140" s="5">
        <v>197.59</v>
      </c>
      <c r="H140" s="5">
        <v>204.44</v>
      </c>
      <c r="I140" s="5">
        <v>232.02</v>
      </c>
      <c r="J140" s="5">
        <v>232.02</v>
      </c>
      <c r="K140" s="5">
        <v>236.66</v>
      </c>
      <c r="L140" s="5">
        <v>236.66</v>
      </c>
      <c r="M140" s="5">
        <v>139.27000000000001</v>
      </c>
      <c r="N140" s="5">
        <v>139.27000000000001</v>
      </c>
      <c r="O140" s="5">
        <v>139.27000000000001</v>
      </c>
      <c r="P140" s="5">
        <v>139.27000000000001</v>
      </c>
    </row>
    <row r="141" spans="1:16" ht="15" customHeight="1" x14ac:dyDescent="0.35">
      <c r="A141" s="1">
        <v>66</v>
      </c>
      <c r="B141" s="5">
        <v>62.72</v>
      </c>
      <c r="C141" s="5">
        <v>90.81</v>
      </c>
      <c r="D141" s="5">
        <v>156.57</v>
      </c>
      <c r="E141" s="5">
        <v>171.79</v>
      </c>
      <c r="F141" s="5">
        <v>177.46</v>
      </c>
      <c r="G141" s="5">
        <v>197.89</v>
      </c>
      <c r="H141" s="5">
        <v>204.86</v>
      </c>
      <c r="I141" s="5">
        <v>233.45</v>
      </c>
      <c r="J141" s="5">
        <v>233.45</v>
      </c>
      <c r="K141" s="5">
        <v>245.85</v>
      </c>
      <c r="L141" s="5">
        <v>245.85</v>
      </c>
      <c r="M141" s="5">
        <v>139.41999999999999</v>
      </c>
      <c r="N141" s="5">
        <v>139.41999999999999</v>
      </c>
      <c r="O141" s="5">
        <v>139.41999999999999</v>
      </c>
      <c r="P141" s="5">
        <v>139.41999999999999</v>
      </c>
    </row>
    <row r="142" spans="1:16" ht="15" customHeight="1" x14ac:dyDescent="0.35">
      <c r="A142" s="1">
        <v>67</v>
      </c>
      <c r="B142" s="5">
        <v>63.31</v>
      </c>
      <c r="C142" s="5">
        <v>95.75</v>
      </c>
      <c r="D142" s="5">
        <v>158.93</v>
      </c>
      <c r="E142" s="5">
        <v>172.31</v>
      </c>
      <c r="F142" s="5">
        <v>177.99</v>
      </c>
      <c r="G142" s="5">
        <v>198.04</v>
      </c>
      <c r="H142" s="5">
        <v>205</v>
      </c>
      <c r="I142" s="5">
        <v>236.76</v>
      </c>
      <c r="J142" s="5">
        <v>236.76</v>
      </c>
      <c r="K142" s="5">
        <v>246.77</v>
      </c>
      <c r="L142" s="5">
        <v>246.77</v>
      </c>
      <c r="M142" s="5">
        <v>139.56</v>
      </c>
      <c r="N142" s="5">
        <v>139.56</v>
      </c>
      <c r="O142" s="5">
        <v>139.56</v>
      </c>
      <c r="P142" s="5">
        <v>139.56</v>
      </c>
    </row>
    <row r="143" spans="1:16" ht="15" customHeight="1" x14ac:dyDescent="0.35">
      <c r="A143" s="1">
        <v>68</v>
      </c>
      <c r="B143" s="5">
        <v>64.75</v>
      </c>
      <c r="C143" s="5">
        <v>96.31</v>
      </c>
      <c r="D143" s="5">
        <v>159.16999999999999</v>
      </c>
      <c r="E143" s="5">
        <v>174.44</v>
      </c>
      <c r="F143" s="5">
        <v>178.14</v>
      </c>
      <c r="G143" s="5">
        <v>198.19</v>
      </c>
      <c r="H143" s="5">
        <v>206.18</v>
      </c>
      <c r="I143" s="5">
        <v>237.09</v>
      </c>
      <c r="J143" s="5">
        <v>237.09</v>
      </c>
      <c r="K143" s="5">
        <v>246.93</v>
      </c>
      <c r="L143" s="5">
        <v>246.93</v>
      </c>
      <c r="M143" s="5">
        <v>139.72999999999999</v>
      </c>
      <c r="N143" s="5">
        <v>139.72999999999999</v>
      </c>
      <c r="O143" s="5">
        <v>139.72999999999999</v>
      </c>
      <c r="P143" s="5">
        <v>139.72999999999999</v>
      </c>
    </row>
    <row r="144" spans="1:16" ht="15" customHeight="1" x14ac:dyDescent="0.35">
      <c r="A144" s="1">
        <v>69</v>
      </c>
      <c r="B144" s="5">
        <v>64.900000000000006</v>
      </c>
      <c r="C144" s="5">
        <v>96.47</v>
      </c>
      <c r="D144" s="5">
        <v>159.33000000000001</v>
      </c>
      <c r="E144" s="5">
        <v>174.93</v>
      </c>
      <c r="F144" s="5">
        <v>178.43</v>
      </c>
      <c r="G144" s="5">
        <v>198.32</v>
      </c>
      <c r="H144" s="5">
        <v>210.12</v>
      </c>
      <c r="I144" s="5">
        <v>241.84</v>
      </c>
      <c r="J144" s="5">
        <v>241.84</v>
      </c>
      <c r="K144" s="5">
        <v>248.49</v>
      </c>
      <c r="L144" s="5">
        <v>248.49</v>
      </c>
      <c r="M144" s="5">
        <v>139.97</v>
      </c>
      <c r="N144" s="5">
        <v>139.97</v>
      </c>
      <c r="O144" s="5">
        <v>139.97</v>
      </c>
      <c r="P144" s="5">
        <v>139.97</v>
      </c>
    </row>
    <row r="145" spans="1:16" ht="15" customHeight="1" x14ac:dyDescent="0.35">
      <c r="A145" s="1">
        <v>70</v>
      </c>
      <c r="B145" s="5">
        <v>65.06</v>
      </c>
      <c r="C145" s="5">
        <v>96.64</v>
      </c>
      <c r="D145" s="5">
        <v>159.47999999999999</v>
      </c>
      <c r="E145" s="5">
        <v>175.08</v>
      </c>
      <c r="F145" s="5">
        <v>178.58</v>
      </c>
      <c r="G145" s="5">
        <v>198.75</v>
      </c>
      <c r="H145" s="5">
        <v>210.53</v>
      </c>
      <c r="I145" s="5">
        <v>245.39</v>
      </c>
      <c r="J145" s="5">
        <v>245.39</v>
      </c>
      <c r="K145" s="5">
        <v>253.86</v>
      </c>
      <c r="L145" s="5">
        <v>253.86</v>
      </c>
      <c r="M145" s="5">
        <v>144.75</v>
      </c>
      <c r="N145" s="5">
        <v>144.75</v>
      </c>
      <c r="O145" s="5">
        <v>144.75</v>
      </c>
      <c r="P145" s="5">
        <v>144.75</v>
      </c>
    </row>
    <row r="146" spans="1:16" ht="15" customHeight="1" x14ac:dyDescent="0.35">
      <c r="A146" s="1">
        <v>71</v>
      </c>
      <c r="B146" s="5">
        <v>66.92</v>
      </c>
      <c r="C146" s="5">
        <v>96.79</v>
      </c>
      <c r="D146" s="5">
        <v>160</v>
      </c>
      <c r="E146" s="5">
        <v>175.4</v>
      </c>
      <c r="F146" s="5">
        <v>178.92</v>
      </c>
      <c r="G146" s="5">
        <v>207.14</v>
      </c>
      <c r="H146" s="5">
        <v>211.29</v>
      </c>
      <c r="I146" s="5">
        <v>249.42</v>
      </c>
      <c r="J146" s="5">
        <v>249.42</v>
      </c>
      <c r="K146" s="5">
        <v>254.4</v>
      </c>
      <c r="L146" s="5">
        <v>254.4</v>
      </c>
      <c r="M146" s="5">
        <v>145.22999999999999</v>
      </c>
      <c r="N146" s="5">
        <v>145.22999999999999</v>
      </c>
      <c r="O146" s="5">
        <v>145.22999999999999</v>
      </c>
      <c r="P146" s="5">
        <v>145.22999999999999</v>
      </c>
    </row>
    <row r="147" spans="1:16" ht="15" customHeight="1" x14ac:dyDescent="0.35">
      <c r="A147" s="1">
        <v>72</v>
      </c>
      <c r="B147" s="5">
        <v>67.349999999999994</v>
      </c>
      <c r="C147" s="5">
        <v>99.64</v>
      </c>
      <c r="D147" s="5">
        <v>170.3</v>
      </c>
      <c r="E147" s="5">
        <v>181.29</v>
      </c>
      <c r="F147" s="5">
        <v>184.92</v>
      </c>
      <c r="G147" s="5">
        <v>216.16</v>
      </c>
      <c r="H147" s="5">
        <v>226.52</v>
      </c>
      <c r="I147" s="5">
        <v>251.74</v>
      </c>
      <c r="J147" s="5">
        <v>251.74</v>
      </c>
      <c r="K147" s="5">
        <v>256.77999999999997</v>
      </c>
      <c r="L147" s="5">
        <v>256.77999999999997</v>
      </c>
      <c r="M147" s="5">
        <v>145.43</v>
      </c>
      <c r="N147" s="5">
        <v>145.43</v>
      </c>
      <c r="O147" s="5">
        <v>145.43</v>
      </c>
      <c r="P147" s="5">
        <v>145.43</v>
      </c>
    </row>
    <row r="148" spans="1:16" ht="15" customHeight="1" x14ac:dyDescent="0.35">
      <c r="A148" s="1">
        <v>73</v>
      </c>
      <c r="B148" s="5">
        <v>67.5</v>
      </c>
      <c r="C148" s="5">
        <v>101.72</v>
      </c>
      <c r="D148" s="5">
        <v>171.34</v>
      </c>
      <c r="E148" s="5">
        <v>181.87</v>
      </c>
      <c r="F148" s="5">
        <v>185.52</v>
      </c>
      <c r="G148" s="5">
        <v>217.06</v>
      </c>
      <c r="H148" s="5">
        <v>228.04</v>
      </c>
      <c r="I148" s="5">
        <v>252.25</v>
      </c>
      <c r="J148" s="5">
        <v>252.25</v>
      </c>
      <c r="K148" s="5">
        <v>257.31</v>
      </c>
      <c r="L148" s="5">
        <v>257.31</v>
      </c>
      <c r="M148" s="5">
        <v>149.44</v>
      </c>
      <c r="N148" s="5">
        <v>149.44</v>
      </c>
      <c r="O148" s="5">
        <v>149.44</v>
      </c>
      <c r="P148" s="5">
        <v>149.44</v>
      </c>
    </row>
    <row r="149" spans="1:16" ht="15" customHeight="1" x14ac:dyDescent="0.35">
      <c r="A149" s="1">
        <v>74</v>
      </c>
      <c r="B149" s="5">
        <v>67.66</v>
      </c>
      <c r="C149" s="5">
        <v>101.92</v>
      </c>
      <c r="D149" s="5">
        <v>171.5</v>
      </c>
      <c r="E149" s="5">
        <v>182.03</v>
      </c>
      <c r="F149" s="5">
        <v>185.67</v>
      </c>
      <c r="G149" s="5">
        <v>217.21</v>
      </c>
      <c r="H149" s="5">
        <v>228.21</v>
      </c>
      <c r="I149" s="5">
        <v>262.45</v>
      </c>
      <c r="J149" s="5">
        <v>262.45</v>
      </c>
      <c r="K149" s="5">
        <v>267.7</v>
      </c>
      <c r="L149" s="5">
        <v>267.7</v>
      </c>
      <c r="M149" s="5">
        <v>149.87</v>
      </c>
      <c r="N149" s="5">
        <v>149.87</v>
      </c>
      <c r="O149" s="5">
        <v>149.87</v>
      </c>
      <c r="P149" s="5">
        <v>149.87</v>
      </c>
    </row>
    <row r="150" spans="1:16" ht="15" customHeight="1" x14ac:dyDescent="0.35">
      <c r="A150" s="1">
        <v>75</v>
      </c>
      <c r="B150" s="5">
        <v>67.98</v>
      </c>
      <c r="C150" s="5">
        <v>102.25</v>
      </c>
      <c r="D150" s="5">
        <v>171.79</v>
      </c>
      <c r="E150" s="5">
        <v>182.32</v>
      </c>
      <c r="F150" s="5">
        <v>185.96</v>
      </c>
      <c r="G150" s="5">
        <v>217.5</v>
      </c>
      <c r="H150" s="5">
        <v>228.5</v>
      </c>
      <c r="I150" s="5">
        <v>263.47000000000003</v>
      </c>
      <c r="J150" s="5">
        <v>263.47000000000003</v>
      </c>
      <c r="K150" s="5">
        <v>268.74</v>
      </c>
      <c r="L150" s="5">
        <v>268.74</v>
      </c>
      <c r="M150" s="5">
        <v>150.30000000000001</v>
      </c>
      <c r="N150" s="5">
        <v>150.30000000000001</v>
      </c>
      <c r="O150" s="5">
        <v>150.30000000000001</v>
      </c>
      <c r="P150" s="5">
        <v>150.30000000000001</v>
      </c>
    </row>
    <row r="151" spans="1:16" ht="15" customHeight="1" x14ac:dyDescent="0.35">
      <c r="A151" s="1">
        <v>76</v>
      </c>
      <c r="B151" s="5">
        <v>68.459999999999994</v>
      </c>
      <c r="C151" s="5">
        <v>105.09</v>
      </c>
      <c r="D151" s="5">
        <v>172.71</v>
      </c>
      <c r="E151" s="5">
        <v>183.88</v>
      </c>
      <c r="F151" s="5">
        <v>187.56</v>
      </c>
      <c r="G151" s="5">
        <v>223.24</v>
      </c>
      <c r="H151" s="5">
        <v>228.73</v>
      </c>
      <c r="I151" s="5">
        <v>266.08999999999997</v>
      </c>
      <c r="J151" s="5">
        <v>266.08999999999997</v>
      </c>
      <c r="K151" s="5">
        <v>271.42</v>
      </c>
      <c r="L151" s="5">
        <v>271.42</v>
      </c>
      <c r="M151" s="5">
        <v>154.6</v>
      </c>
      <c r="N151" s="5">
        <v>154.6</v>
      </c>
      <c r="O151" s="5">
        <v>154.6</v>
      </c>
      <c r="P151" s="5">
        <v>154.6</v>
      </c>
    </row>
    <row r="152" spans="1:16" ht="15" customHeight="1" x14ac:dyDescent="0.35">
      <c r="A152" s="1">
        <v>77</v>
      </c>
      <c r="B152" s="5">
        <v>68.69</v>
      </c>
      <c r="C152" s="5">
        <v>105.37</v>
      </c>
      <c r="D152" s="5">
        <v>173.41</v>
      </c>
      <c r="E152" s="5">
        <v>189.76</v>
      </c>
      <c r="F152" s="5">
        <v>195.15</v>
      </c>
      <c r="G152" s="5">
        <v>223.82</v>
      </c>
      <c r="H152" s="5">
        <v>228.95</v>
      </c>
      <c r="I152" s="5">
        <v>268.89999999999998</v>
      </c>
      <c r="J152" s="5">
        <v>268.89999999999998</v>
      </c>
      <c r="K152" s="5">
        <v>278.33</v>
      </c>
      <c r="L152" s="5">
        <v>278.33</v>
      </c>
      <c r="M152" s="5">
        <v>156.97999999999999</v>
      </c>
      <c r="N152" s="5">
        <v>156.97999999999999</v>
      </c>
      <c r="O152" s="5">
        <v>156.97999999999999</v>
      </c>
      <c r="P152" s="5">
        <v>156.97999999999999</v>
      </c>
    </row>
    <row r="153" spans="1:16" ht="15" customHeight="1" x14ac:dyDescent="0.35">
      <c r="A153" s="1">
        <v>78</v>
      </c>
      <c r="B153" s="5">
        <v>68.92</v>
      </c>
      <c r="C153" s="5">
        <v>105.6</v>
      </c>
      <c r="D153" s="5">
        <v>176.69</v>
      </c>
      <c r="E153" s="5">
        <v>193.22</v>
      </c>
      <c r="F153" s="5">
        <v>199.5</v>
      </c>
      <c r="G153" s="5">
        <v>224.11</v>
      </c>
      <c r="H153" s="5">
        <v>229.17</v>
      </c>
      <c r="I153" s="5">
        <v>269.7</v>
      </c>
      <c r="J153" s="5">
        <v>269.7</v>
      </c>
      <c r="K153" s="5">
        <v>289.81</v>
      </c>
      <c r="L153" s="5">
        <v>289.81</v>
      </c>
      <c r="M153" s="5">
        <v>157.22</v>
      </c>
      <c r="N153" s="5">
        <v>157.22</v>
      </c>
      <c r="O153" s="5">
        <v>157.22</v>
      </c>
      <c r="P153" s="5">
        <v>157.22</v>
      </c>
    </row>
    <row r="154" spans="1:16" ht="15" customHeight="1" x14ac:dyDescent="0.35">
      <c r="A154" s="1">
        <v>79</v>
      </c>
      <c r="B154" s="5">
        <v>69.14</v>
      </c>
      <c r="C154" s="5">
        <v>105.82</v>
      </c>
      <c r="D154" s="5">
        <v>177.02</v>
      </c>
      <c r="E154" s="5">
        <v>193.57</v>
      </c>
      <c r="F154" s="5">
        <v>199.94</v>
      </c>
      <c r="G154" s="5">
        <v>224.76</v>
      </c>
      <c r="H154" s="5">
        <v>229.39</v>
      </c>
      <c r="I154" s="5">
        <v>280.3</v>
      </c>
      <c r="J154" s="5">
        <v>280.3</v>
      </c>
      <c r="K154" s="5">
        <v>290.95999999999998</v>
      </c>
      <c r="L154" s="5">
        <v>290.95999999999998</v>
      </c>
      <c r="M154" s="5">
        <v>157.58000000000001</v>
      </c>
      <c r="N154" s="5">
        <v>157.58000000000001</v>
      </c>
      <c r="O154" s="5">
        <v>157.58000000000001</v>
      </c>
      <c r="P154" s="5">
        <v>157.58000000000001</v>
      </c>
    </row>
    <row r="155" spans="1:16" ht="15" customHeight="1" x14ac:dyDescent="0.35">
      <c r="A155" s="1">
        <v>80</v>
      </c>
      <c r="B155" s="5">
        <v>69.42</v>
      </c>
      <c r="C155" s="5">
        <v>106.04</v>
      </c>
      <c r="D155" s="5">
        <v>177.45</v>
      </c>
      <c r="E155" s="5">
        <v>194.33</v>
      </c>
      <c r="F155" s="5">
        <v>200.62</v>
      </c>
      <c r="G155" s="5">
        <v>225.22</v>
      </c>
      <c r="H155" s="5">
        <v>229.85</v>
      </c>
      <c r="I155" s="5">
        <v>285.39999999999998</v>
      </c>
      <c r="J155" s="5">
        <v>285.39999999999998</v>
      </c>
      <c r="K155" s="5">
        <v>291.25</v>
      </c>
      <c r="L155" s="5">
        <v>291.25</v>
      </c>
      <c r="M155" s="5">
        <v>164.8</v>
      </c>
      <c r="N155" s="5">
        <v>164.8</v>
      </c>
      <c r="O155" s="5">
        <v>164.8</v>
      </c>
      <c r="P155" s="5">
        <v>164.8</v>
      </c>
    </row>
    <row r="156" spans="1:16" ht="15" customHeight="1" x14ac:dyDescent="0.35">
      <c r="A156" s="1">
        <v>81</v>
      </c>
      <c r="B156" s="5">
        <v>75.040000000000006</v>
      </c>
      <c r="C156" s="5">
        <v>108.52</v>
      </c>
      <c r="D156" s="5">
        <v>186.06</v>
      </c>
      <c r="E156" s="5">
        <v>209.53</v>
      </c>
      <c r="F156" s="5">
        <v>214.3</v>
      </c>
      <c r="G156" s="5">
        <v>234.32</v>
      </c>
      <c r="H156" s="5">
        <v>239.03</v>
      </c>
      <c r="I156" s="5">
        <v>285.91000000000003</v>
      </c>
      <c r="J156" s="5">
        <v>285.91000000000003</v>
      </c>
      <c r="K156" s="5">
        <v>291.63</v>
      </c>
      <c r="L156" s="5">
        <v>291.63</v>
      </c>
      <c r="M156" s="5">
        <v>165.53</v>
      </c>
      <c r="N156" s="5">
        <v>165.53</v>
      </c>
      <c r="O156" s="5">
        <v>165.53</v>
      </c>
      <c r="P156" s="5">
        <v>165.53</v>
      </c>
    </row>
    <row r="157" spans="1:16" ht="15" customHeight="1" x14ac:dyDescent="0.35">
      <c r="A157" s="1">
        <v>82</v>
      </c>
      <c r="B157" s="5">
        <v>75.599999999999994</v>
      </c>
      <c r="C157" s="5">
        <v>108.77</v>
      </c>
      <c r="D157" s="5">
        <v>187.04</v>
      </c>
      <c r="E157" s="5">
        <v>211.05</v>
      </c>
      <c r="F157" s="5">
        <v>215.67</v>
      </c>
      <c r="G157" s="5">
        <v>235.24</v>
      </c>
      <c r="H157" s="5">
        <v>239.95</v>
      </c>
      <c r="I157" s="5">
        <v>286.24</v>
      </c>
      <c r="J157" s="5">
        <v>286.24</v>
      </c>
      <c r="K157" s="5">
        <v>291.95999999999998</v>
      </c>
      <c r="L157" s="5">
        <v>291.95999999999998</v>
      </c>
      <c r="M157" s="5">
        <v>165.75</v>
      </c>
      <c r="N157" s="5">
        <v>165.75</v>
      </c>
      <c r="O157" s="5">
        <v>165.75</v>
      </c>
      <c r="P157" s="5">
        <v>165.75</v>
      </c>
    </row>
    <row r="158" spans="1:16" ht="15" customHeight="1" x14ac:dyDescent="0.35">
      <c r="A158" s="1">
        <v>83</v>
      </c>
      <c r="B158" s="5">
        <v>75.930000000000007</v>
      </c>
      <c r="C158" s="5">
        <v>109</v>
      </c>
      <c r="D158" s="5">
        <v>187.34</v>
      </c>
      <c r="E158" s="5">
        <v>211.35</v>
      </c>
      <c r="F158" s="5">
        <v>215.96</v>
      </c>
      <c r="G158" s="5">
        <v>235.54</v>
      </c>
      <c r="H158" s="5">
        <v>240.25</v>
      </c>
      <c r="I158" s="5">
        <v>286.45999999999998</v>
      </c>
      <c r="J158" s="5">
        <v>286.45999999999998</v>
      </c>
      <c r="K158" s="5">
        <v>292.3</v>
      </c>
      <c r="L158" s="5">
        <v>292.3</v>
      </c>
      <c r="M158" s="5">
        <v>165.97</v>
      </c>
      <c r="N158" s="5">
        <v>165.97</v>
      </c>
      <c r="O158" s="5">
        <v>165.97</v>
      </c>
      <c r="P158" s="5">
        <v>165.97</v>
      </c>
    </row>
    <row r="159" spans="1:16" ht="15" customHeight="1" x14ac:dyDescent="0.35">
      <c r="A159" s="1">
        <v>84</v>
      </c>
      <c r="B159" s="5">
        <v>76.239999999999995</v>
      </c>
      <c r="C159" s="5">
        <v>109.23</v>
      </c>
      <c r="D159" s="5">
        <v>187.64</v>
      </c>
      <c r="E159" s="5">
        <v>211.65</v>
      </c>
      <c r="F159" s="5">
        <v>216.27</v>
      </c>
      <c r="G159" s="5">
        <v>240.35</v>
      </c>
      <c r="H159" s="5">
        <v>245.17</v>
      </c>
      <c r="I159" s="5">
        <v>286.68</v>
      </c>
      <c r="J159" s="5">
        <v>286.68</v>
      </c>
      <c r="K159" s="5">
        <v>292.76</v>
      </c>
      <c r="L159" s="5">
        <v>292.76</v>
      </c>
      <c r="M159" s="5">
        <v>166.31</v>
      </c>
      <c r="N159" s="5">
        <v>166.31</v>
      </c>
      <c r="O159" s="5">
        <v>166.31</v>
      </c>
      <c r="P159" s="5">
        <v>166.31</v>
      </c>
    </row>
    <row r="160" spans="1:16" ht="15" customHeight="1" x14ac:dyDescent="0.35">
      <c r="A160" s="1">
        <v>85</v>
      </c>
      <c r="B160" s="5">
        <v>76.55</v>
      </c>
      <c r="C160" s="5">
        <v>109.45</v>
      </c>
      <c r="D160" s="5">
        <v>187.94</v>
      </c>
      <c r="E160" s="5">
        <v>211.95</v>
      </c>
      <c r="F160" s="5">
        <v>216.57</v>
      </c>
      <c r="G160" s="5">
        <v>240.84</v>
      </c>
      <c r="H160" s="5">
        <v>245.66</v>
      </c>
      <c r="I160" s="5">
        <v>286.91000000000003</v>
      </c>
      <c r="J160" s="5">
        <v>286.91000000000003</v>
      </c>
      <c r="K160" s="5">
        <v>296.25</v>
      </c>
      <c r="L160" s="5">
        <v>296.25</v>
      </c>
      <c r="M160" s="5">
        <v>172.99</v>
      </c>
      <c r="N160" s="5">
        <v>172.99</v>
      </c>
      <c r="O160" s="5">
        <v>172.99</v>
      </c>
      <c r="P160" s="5">
        <v>172.99</v>
      </c>
    </row>
    <row r="161" spans="1:16" ht="15" customHeight="1" x14ac:dyDescent="0.35">
      <c r="A161" s="1">
        <v>86</v>
      </c>
      <c r="B161" s="5">
        <v>77.56</v>
      </c>
      <c r="C161" s="5">
        <v>109.67</v>
      </c>
      <c r="D161" s="5">
        <v>188.48</v>
      </c>
      <c r="E161" s="5">
        <v>212.71</v>
      </c>
      <c r="F161" s="5">
        <v>216.97</v>
      </c>
      <c r="G161" s="5">
        <v>241.12</v>
      </c>
      <c r="H161" s="5">
        <v>245.95</v>
      </c>
      <c r="I161" s="5">
        <v>287.49</v>
      </c>
      <c r="J161" s="5">
        <v>287.49</v>
      </c>
      <c r="K161" s="5">
        <v>304.05</v>
      </c>
      <c r="L161" s="5">
        <v>304.05</v>
      </c>
      <c r="M161" s="5">
        <v>178.81</v>
      </c>
      <c r="N161" s="5">
        <v>178.81</v>
      </c>
      <c r="O161" s="5">
        <v>178.81</v>
      </c>
      <c r="P161" s="5">
        <v>178.81</v>
      </c>
    </row>
    <row r="162" spans="1:16" ht="15" customHeight="1" x14ac:dyDescent="0.35">
      <c r="A162" s="1">
        <v>87</v>
      </c>
      <c r="B162" s="5">
        <v>77.78</v>
      </c>
      <c r="C162" s="5">
        <v>109.89</v>
      </c>
      <c r="D162" s="5">
        <v>195.25</v>
      </c>
      <c r="E162" s="5">
        <v>213.66</v>
      </c>
      <c r="F162" s="5">
        <v>217.95</v>
      </c>
      <c r="G162" s="5">
        <v>241.5</v>
      </c>
      <c r="H162" s="5">
        <v>246.33</v>
      </c>
      <c r="I162" s="5">
        <v>299.18</v>
      </c>
      <c r="J162" s="5">
        <v>299.18</v>
      </c>
      <c r="K162" s="5">
        <v>305.16000000000003</v>
      </c>
      <c r="L162" s="5">
        <v>305.16000000000003</v>
      </c>
      <c r="M162" s="5">
        <v>180.55</v>
      </c>
      <c r="N162" s="5">
        <v>180.55</v>
      </c>
      <c r="O162" s="5">
        <v>180.55</v>
      </c>
      <c r="P162" s="5">
        <v>180.55</v>
      </c>
    </row>
    <row r="163" spans="1:16" ht="15" customHeight="1" x14ac:dyDescent="0.35">
      <c r="A163" s="1">
        <v>88</v>
      </c>
      <c r="B163" s="5">
        <v>78.010000000000005</v>
      </c>
      <c r="C163" s="5">
        <v>110.12</v>
      </c>
      <c r="D163" s="5">
        <v>195.93</v>
      </c>
      <c r="E163" s="5">
        <v>214.13</v>
      </c>
      <c r="F163" s="5">
        <v>218.5</v>
      </c>
      <c r="G163" s="5">
        <v>242.41</v>
      </c>
      <c r="H163" s="5">
        <v>247.54</v>
      </c>
      <c r="I163" s="5">
        <v>302.08</v>
      </c>
      <c r="J163" s="5">
        <v>302.08</v>
      </c>
      <c r="K163" s="5">
        <v>311.39999999999998</v>
      </c>
      <c r="L163" s="5">
        <v>311.39999999999998</v>
      </c>
      <c r="M163" s="5">
        <v>185.33</v>
      </c>
      <c r="N163" s="5">
        <v>185.33</v>
      </c>
      <c r="O163" s="5">
        <v>185.33</v>
      </c>
      <c r="P163" s="5">
        <v>185.33</v>
      </c>
    </row>
    <row r="164" spans="1:16" ht="15" customHeight="1" x14ac:dyDescent="0.35">
      <c r="A164" s="1">
        <v>89</v>
      </c>
      <c r="B164" s="5">
        <v>78.23</v>
      </c>
      <c r="C164" s="5">
        <v>110.34</v>
      </c>
      <c r="D164" s="5">
        <v>202.08</v>
      </c>
      <c r="E164" s="5">
        <v>223.39</v>
      </c>
      <c r="F164" s="5">
        <v>229.59</v>
      </c>
      <c r="G164" s="5">
        <v>260.82</v>
      </c>
      <c r="H164" s="5">
        <v>271.75</v>
      </c>
      <c r="I164" s="5">
        <v>302.36</v>
      </c>
      <c r="J164" s="5">
        <v>302.36</v>
      </c>
      <c r="K164" s="5">
        <v>312.02999999999997</v>
      </c>
      <c r="L164" s="5">
        <v>312.02999999999997</v>
      </c>
      <c r="M164" s="5">
        <v>185.8</v>
      </c>
      <c r="N164" s="5">
        <v>185.8</v>
      </c>
      <c r="O164" s="5">
        <v>185.8</v>
      </c>
      <c r="P164" s="5">
        <v>185.8</v>
      </c>
    </row>
    <row r="165" spans="1:16" ht="15" customHeight="1" x14ac:dyDescent="0.35">
      <c r="A165" s="1">
        <v>90</v>
      </c>
      <c r="B165" s="5">
        <v>78.459999999999994</v>
      </c>
      <c r="C165" s="5">
        <v>110.56</v>
      </c>
      <c r="D165" s="5">
        <v>202.7</v>
      </c>
      <c r="E165" s="5">
        <v>224.71</v>
      </c>
      <c r="F165" s="5">
        <v>232.46</v>
      </c>
      <c r="G165" s="5">
        <v>270.86</v>
      </c>
      <c r="H165" s="5">
        <v>276.8</v>
      </c>
      <c r="I165" s="5">
        <v>302.58999999999997</v>
      </c>
      <c r="J165" s="5">
        <v>302.58999999999997</v>
      </c>
      <c r="K165" s="5">
        <v>312.25</v>
      </c>
      <c r="L165" s="5">
        <v>312.25</v>
      </c>
      <c r="M165" s="5">
        <v>187.54</v>
      </c>
      <c r="N165" s="5">
        <v>187.54</v>
      </c>
      <c r="O165" s="5">
        <v>187.54</v>
      </c>
      <c r="P165" s="5">
        <v>187.54</v>
      </c>
    </row>
    <row r="166" spans="1:16" ht="15" customHeight="1" x14ac:dyDescent="0.35">
      <c r="A166" s="1">
        <v>91</v>
      </c>
      <c r="B166" s="5">
        <v>78.680000000000007</v>
      </c>
      <c r="C166" s="5">
        <v>110.78</v>
      </c>
      <c r="D166" s="5">
        <v>202.92</v>
      </c>
      <c r="E166" s="5">
        <v>224.99</v>
      </c>
      <c r="F166" s="5">
        <v>232.75</v>
      </c>
      <c r="G166" s="5">
        <v>271.87</v>
      </c>
      <c r="H166" s="5">
        <v>277.31</v>
      </c>
      <c r="I166" s="5">
        <v>302.89999999999998</v>
      </c>
      <c r="J166" s="5">
        <v>302.89999999999998</v>
      </c>
      <c r="K166" s="5">
        <v>312.47000000000003</v>
      </c>
      <c r="L166" s="5">
        <v>312.47000000000003</v>
      </c>
      <c r="M166" s="5">
        <v>188.1</v>
      </c>
      <c r="N166" s="5">
        <v>188.1</v>
      </c>
      <c r="O166" s="5">
        <v>188.1</v>
      </c>
      <c r="P166" s="5">
        <v>188.1</v>
      </c>
    </row>
    <row r="167" spans="1:16" ht="15" customHeight="1" x14ac:dyDescent="0.35">
      <c r="A167" s="1">
        <v>92</v>
      </c>
      <c r="B167" s="5">
        <v>78.900000000000006</v>
      </c>
      <c r="C167" s="5">
        <v>111.01</v>
      </c>
      <c r="D167" s="5">
        <v>203.14</v>
      </c>
      <c r="E167" s="5">
        <v>225.27</v>
      </c>
      <c r="F167" s="5">
        <v>233.04</v>
      </c>
      <c r="G167" s="5">
        <v>272.14999999999998</v>
      </c>
      <c r="H167" s="5">
        <v>277.64</v>
      </c>
      <c r="I167" s="5">
        <v>303.17</v>
      </c>
      <c r="J167" s="5">
        <v>303.17</v>
      </c>
      <c r="K167" s="5">
        <v>312.7</v>
      </c>
      <c r="L167" s="5">
        <v>312.7</v>
      </c>
      <c r="M167" s="5">
        <v>188.44</v>
      </c>
      <c r="N167" s="5">
        <v>188.44</v>
      </c>
      <c r="O167" s="5">
        <v>188.44</v>
      </c>
      <c r="P167" s="5">
        <v>188.44</v>
      </c>
    </row>
    <row r="168" spans="1:16" ht="15" customHeight="1" x14ac:dyDescent="0.35">
      <c r="A168" s="1">
        <v>93</v>
      </c>
      <c r="B168" s="5">
        <v>79.13</v>
      </c>
      <c r="C168" s="5">
        <v>111.24</v>
      </c>
      <c r="D168" s="5">
        <v>203.37</v>
      </c>
      <c r="E168" s="5">
        <v>225.56</v>
      </c>
      <c r="F168" s="5">
        <v>233.32</v>
      </c>
      <c r="G168" s="5">
        <v>272.51</v>
      </c>
      <c r="H168" s="5">
        <v>277.97000000000003</v>
      </c>
      <c r="I168" s="5">
        <v>308.61</v>
      </c>
      <c r="J168" s="5">
        <v>308.61</v>
      </c>
      <c r="K168" s="5">
        <v>315.43</v>
      </c>
      <c r="L168" s="5">
        <v>315.43</v>
      </c>
      <c r="M168" s="5">
        <v>192.64</v>
      </c>
      <c r="N168" s="5">
        <v>192.64</v>
      </c>
      <c r="O168" s="5">
        <v>192.64</v>
      </c>
      <c r="P168" s="5">
        <v>192.64</v>
      </c>
    </row>
    <row r="169" spans="1:16" ht="15" customHeight="1" x14ac:dyDescent="0.35">
      <c r="A169" s="1">
        <v>94</v>
      </c>
      <c r="B169" s="5">
        <v>79.349999999999994</v>
      </c>
      <c r="C169" s="5">
        <v>111.46</v>
      </c>
      <c r="D169" s="5">
        <v>203.59</v>
      </c>
      <c r="E169" s="5">
        <v>225.86</v>
      </c>
      <c r="F169" s="5">
        <v>233.62</v>
      </c>
      <c r="G169" s="5">
        <v>272.83</v>
      </c>
      <c r="H169" s="5">
        <v>278.3</v>
      </c>
      <c r="I169" s="5">
        <v>309.16000000000003</v>
      </c>
      <c r="J169" s="5">
        <v>309.16000000000003</v>
      </c>
      <c r="K169" s="5">
        <v>315.74</v>
      </c>
      <c r="L169" s="5">
        <v>315.74</v>
      </c>
      <c r="M169" s="5">
        <v>193.24</v>
      </c>
      <c r="N169" s="5">
        <v>193.24</v>
      </c>
      <c r="O169" s="5">
        <v>193.24</v>
      </c>
      <c r="P169" s="5">
        <v>193.24</v>
      </c>
    </row>
    <row r="170" spans="1:16" ht="15" customHeight="1" x14ac:dyDescent="0.35">
      <c r="A170" s="1">
        <v>95</v>
      </c>
      <c r="B170" s="5">
        <v>79.569999999999993</v>
      </c>
      <c r="C170" s="5">
        <v>111.68</v>
      </c>
      <c r="D170" s="5">
        <v>203.82</v>
      </c>
      <c r="E170" s="5">
        <v>227.48</v>
      </c>
      <c r="F170" s="5">
        <v>233.92</v>
      </c>
      <c r="G170" s="5">
        <v>273.12</v>
      </c>
      <c r="H170" s="5">
        <v>278.63</v>
      </c>
      <c r="I170" s="5">
        <v>309.38</v>
      </c>
      <c r="J170" s="5">
        <v>309.38</v>
      </c>
      <c r="K170" s="5">
        <v>316.60000000000002</v>
      </c>
      <c r="L170" s="5">
        <v>316.60000000000002</v>
      </c>
      <c r="M170" s="5">
        <v>200.62</v>
      </c>
      <c r="N170" s="5">
        <v>200.62</v>
      </c>
      <c r="O170" s="5">
        <v>200.62</v>
      </c>
      <c r="P170" s="5">
        <v>200.62</v>
      </c>
    </row>
    <row r="171" spans="1:16" ht="15" customHeight="1" x14ac:dyDescent="0.35">
      <c r="A171" s="1">
        <v>96</v>
      </c>
      <c r="B171" s="5">
        <v>79.790000000000006</v>
      </c>
      <c r="C171" s="5">
        <v>111.9</v>
      </c>
      <c r="D171" s="5">
        <v>204.04</v>
      </c>
      <c r="E171" s="5">
        <v>229</v>
      </c>
      <c r="F171" s="5">
        <v>235.64</v>
      </c>
      <c r="G171" s="5">
        <v>273.41000000000003</v>
      </c>
      <c r="H171" s="5">
        <v>278.92</v>
      </c>
      <c r="I171" s="5">
        <v>309.60000000000002</v>
      </c>
      <c r="J171" s="5">
        <v>309.60000000000002</v>
      </c>
      <c r="K171" s="5">
        <v>333.49</v>
      </c>
      <c r="L171" s="5">
        <v>333.49</v>
      </c>
      <c r="M171" s="5">
        <v>201.75</v>
      </c>
      <c r="N171" s="5">
        <v>201.75</v>
      </c>
      <c r="O171" s="5">
        <v>201.75</v>
      </c>
      <c r="P171" s="5">
        <v>201.75</v>
      </c>
    </row>
    <row r="172" spans="1:16" ht="15" customHeight="1" x14ac:dyDescent="0.35">
      <c r="A172" s="1">
        <v>97</v>
      </c>
      <c r="B172" s="5">
        <v>80.010000000000005</v>
      </c>
      <c r="C172" s="5">
        <v>112.12</v>
      </c>
      <c r="D172" s="5">
        <v>204.26</v>
      </c>
      <c r="E172" s="5">
        <v>230.89</v>
      </c>
      <c r="F172" s="5">
        <v>238</v>
      </c>
      <c r="G172" s="5">
        <v>273.7</v>
      </c>
      <c r="H172" s="5">
        <v>279.29000000000002</v>
      </c>
      <c r="I172" s="5">
        <v>310.37</v>
      </c>
      <c r="J172" s="5">
        <v>310.37</v>
      </c>
      <c r="K172" s="5">
        <v>335.19</v>
      </c>
      <c r="L172" s="5">
        <v>335.19</v>
      </c>
      <c r="M172" s="5">
        <v>206.23</v>
      </c>
      <c r="N172" s="5">
        <v>206.23</v>
      </c>
      <c r="O172" s="5">
        <v>206.23</v>
      </c>
      <c r="P172" s="5">
        <v>206.23</v>
      </c>
    </row>
    <row r="173" spans="1:16" ht="15" customHeight="1" x14ac:dyDescent="0.35">
      <c r="A173" s="1">
        <v>98</v>
      </c>
      <c r="B173" s="5">
        <v>80.25</v>
      </c>
      <c r="C173" s="5">
        <v>112.35</v>
      </c>
      <c r="D173" s="5">
        <v>204.49</v>
      </c>
      <c r="E173" s="5">
        <v>231.52</v>
      </c>
      <c r="F173" s="5">
        <v>239.44</v>
      </c>
      <c r="G173" s="5">
        <v>274.35000000000002</v>
      </c>
      <c r="H173" s="5">
        <v>279.95</v>
      </c>
      <c r="I173" s="5">
        <v>317.18</v>
      </c>
      <c r="J173" s="5">
        <v>317.18</v>
      </c>
      <c r="K173" s="5">
        <v>335.56</v>
      </c>
      <c r="L173" s="5">
        <v>335.56</v>
      </c>
      <c r="M173" s="5">
        <v>206.87</v>
      </c>
      <c r="N173" s="5">
        <v>206.87</v>
      </c>
      <c r="O173" s="5">
        <v>206.87</v>
      </c>
      <c r="P173" s="5">
        <v>206.87</v>
      </c>
    </row>
    <row r="174" spans="1:16" ht="15" customHeight="1" x14ac:dyDescent="0.35">
      <c r="A174" s="1">
        <v>99</v>
      </c>
      <c r="B174" s="5">
        <v>80.47</v>
      </c>
      <c r="C174" s="5">
        <v>112.58</v>
      </c>
      <c r="D174" s="5">
        <v>204.71</v>
      </c>
      <c r="E174" s="5">
        <v>243.16</v>
      </c>
      <c r="F174" s="5">
        <v>248.68</v>
      </c>
      <c r="G174" s="5">
        <v>287.38</v>
      </c>
      <c r="H174" s="5">
        <v>293.13</v>
      </c>
      <c r="I174" s="5">
        <v>333.7</v>
      </c>
      <c r="J174" s="5">
        <v>333.7</v>
      </c>
      <c r="K174" s="5">
        <v>340.37</v>
      </c>
      <c r="L174" s="5">
        <v>340.37</v>
      </c>
      <c r="M174" s="5">
        <v>219.59</v>
      </c>
      <c r="N174" s="5">
        <v>219.59</v>
      </c>
      <c r="O174" s="5">
        <v>219.59</v>
      </c>
      <c r="P174" s="5">
        <v>219.59</v>
      </c>
    </row>
    <row r="175" spans="1:16" ht="15" customHeight="1" x14ac:dyDescent="0.35">
      <c r="A175" s="1">
        <v>100</v>
      </c>
      <c r="B175" s="5">
        <v>80.209999999999994</v>
      </c>
      <c r="C175" s="5">
        <v>112.56</v>
      </c>
      <c r="D175" s="5">
        <v>204.93</v>
      </c>
      <c r="E175" s="5">
        <v>244.58</v>
      </c>
      <c r="F175" s="5">
        <v>249.6</v>
      </c>
      <c r="G175" s="5">
        <v>305.55</v>
      </c>
      <c r="H175" s="5">
        <v>325.55</v>
      </c>
      <c r="I175" s="5">
        <v>362.89</v>
      </c>
      <c r="J175" s="5">
        <v>362.89</v>
      </c>
      <c r="K175" s="5">
        <v>370.78</v>
      </c>
      <c r="L175" s="5">
        <v>370.78</v>
      </c>
      <c r="M175" s="5">
        <v>235.27</v>
      </c>
      <c r="N175" s="5">
        <v>235.27</v>
      </c>
      <c r="O175" s="5">
        <v>235.27</v>
      </c>
      <c r="P175" s="5">
        <v>235.27</v>
      </c>
    </row>
    <row r="176" spans="1:16" ht="15" customHeight="1" x14ac:dyDescent="0.35">
      <c r="A176" s="1">
        <v>101</v>
      </c>
      <c r="B176" s="5">
        <v>81.010000000000005</v>
      </c>
      <c r="C176" s="5">
        <v>113.69</v>
      </c>
      <c r="D176" s="5">
        <v>206.98</v>
      </c>
      <c r="E176" s="5">
        <v>247.03</v>
      </c>
      <c r="F176" s="5">
        <v>252.1</v>
      </c>
      <c r="G176" s="5">
        <v>308.61</v>
      </c>
      <c r="H176" s="5">
        <v>328.81</v>
      </c>
      <c r="I176" s="5">
        <v>366.52</v>
      </c>
      <c r="J176" s="5">
        <v>366.52</v>
      </c>
      <c r="K176" s="5">
        <v>374.49</v>
      </c>
      <c r="L176" s="5">
        <v>374.49</v>
      </c>
      <c r="M176" s="5">
        <v>237.62</v>
      </c>
      <c r="N176" s="5">
        <v>237.62</v>
      </c>
      <c r="O176" s="5">
        <v>237.62</v>
      </c>
      <c r="P176" s="5">
        <v>237.62</v>
      </c>
    </row>
    <row r="177" spans="1:16" ht="15" customHeight="1" x14ac:dyDescent="0.35">
      <c r="A177" s="1">
        <v>102</v>
      </c>
      <c r="B177" s="5">
        <v>81.81</v>
      </c>
      <c r="C177" s="5">
        <v>114.81</v>
      </c>
      <c r="D177" s="5">
        <v>209.04</v>
      </c>
      <c r="E177" s="5">
        <v>249.47</v>
      </c>
      <c r="F177" s="5">
        <v>254.59</v>
      </c>
      <c r="G177" s="5">
        <v>311.66000000000003</v>
      </c>
      <c r="H177" s="5">
        <v>332.05</v>
      </c>
      <c r="I177" s="5">
        <v>370.15</v>
      </c>
      <c r="J177" s="5">
        <v>370.15</v>
      </c>
      <c r="K177" s="5">
        <v>378.19</v>
      </c>
      <c r="L177" s="5">
        <v>378.19</v>
      </c>
      <c r="M177" s="5">
        <v>239.98</v>
      </c>
      <c r="N177" s="5">
        <v>239.98</v>
      </c>
      <c r="O177" s="5">
        <v>239.98</v>
      </c>
      <c r="P177" s="5">
        <v>239.98</v>
      </c>
    </row>
    <row r="178" spans="1:16" ht="15" customHeight="1" x14ac:dyDescent="0.35">
      <c r="A178" s="1">
        <v>103</v>
      </c>
      <c r="B178" s="5">
        <v>82.62</v>
      </c>
      <c r="C178" s="5">
        <v>115.94</v>
      </c>
      <c r="D178" s="5">
        <v>211.08</v>
      </c>
      <c r="E178" s="5">
        <v>251.92</v>
      </c>
      <c r="F178" s="5">
        <v>257.08999999999997</v>
      </c>
      <c r="G178" s="5">
        <v>314.72000000000003</v>
      </c>
      <c r="H178" s="5">
        <v>335.31</v>
      </c>
      <c r="I178" s="5">
        <v>373.78</v>
      </c>
      <c r="J178" s="5">
        <v>373.78</v>
      </c>
      <c r="K178" s="5">
        <v>381.9</v>
      </c>
      <c r="L178" s="5">
        <v>381.9</v>
      </c>
      <c r="M178" s="5">
        <v>242.33</v>
      </c>
      <c r="N178" s="5">
        <v>242.33</v>
      </c>
      <c r="O178" s="5">
        <v>242.33</v>
      </c>
      <c r="P178" s="5">
        <v>242.33</v>
      </c>
    </row>
    <row r="179" spans="1:16" ht="15" customHeight="1" x14ac:dyDescent="0.35">
      <c r="A179" s="1">
        <v>104</v>
      </c>
      <c r="B179" s="5">
        <v>83.42</v>
      </c>
      <c r="C179" s="5">
        <v>117.06</v>
      </c>
      <c r="D179" s="5">
        <v>213.13</v>
      </c>
      <c r="E179" s="5">
        <v>254.37</v>
      </c>
      <c r="F179" s="5">
        <v>259.58999999999997</v>
      </c>
      <c r="G179" s="5">
        <v>317.77</v>
      </c>
      <c r="H179" s="5">
        <v>338.57</v>
      </c>
      <c r="I179" s="5">
        <v>377.41</v>
      </c>
      <c r="J179" s="5">
        <v>377.41</v>
      </c>
      <c r="K179" s="5">
        <v>385.61</v>
      </c>
      <c r="L179" s="5">
        <v>385.61</v>
      </c>
      <c r="M179" s="5">
        <v>244.68</v>
      </c>
      <c r="N179" s="5">
        <v>244.68</v>
      </c>
      <c r="O179" s="5">
        <v>244.68</v>
      </c>
      <c r="P179" s="5">
        <v>244.68</v>
      </c>
    </row>
    <row r="180" spans="1:16" ht="15" customHeight="1" x14ac:dyDescent="0.35">
      <c r="A180" s="1">
        <v>105</v>
      </c>
      <c r="B180" s="5">
        <v>84.22</v>
      </c>
      <c r="C180" s="5">
        <v>118.19</v>
      </c>
      <c r="D180" s="5">
        <v>215.18</v>
      </c>
      <c r="E180" s="5">
        <v>256.81</v>
      </c>
      <c r="F180" s="5">
        <v>262.08</v>
      </c>
      <c r="G180" s="5">
        <v>320.83</v>
      </c>
      <c r="H180" s="5">
        <v>341.83</v>
      </c>
      <c r="I180" s="5">
        <v>381.03</v>
      </c>
      <c r="J180" s="5">
        <v>381.03</v>
      </c>
      <c r="K180" s="5">
        <v>389.32</v>
      </c>
      <c r="L180" s="5">
        <v>389.32</v>
      </c>
      <c r="M180" s="5">
        <v>247.03</v>
      </c>
      <c r="N180" s="5">
        <v>247.03</v>
      </c>
      <c r="O180" s="5">
        <v>247.03</v>
      </c>
      <c r="P180" s="5">
        <v>247.03</v>
      </c>
    </row>
    <row r="181" spans="1:16" ht="15" customHeight="1" x14ac:dyDescent="0.35">
      <c r="A181" s="1">
        <v>106</v>
      </c>
      <c r="B181" s="5">
        <v>85.02</v>
      </c>
      <c r="C181" s="5">
        <v>119.31</v>
      </c>
      <c r="D181" s="5">
        <v>217.23</v>
      </c>
      <c r="E181" s="5">
        <v>259.26</v>
      </c>
      <c r="F181" s="5">
        <v>264.58</v>
      </c>
      <c r="G181" s="5">
        <v>323.88</v>
      </c>
      <c r="H181" s="5">
        <v>345.08</v>
      </c>
      <c r="I181" s="5">
        <v>384.66</v>
      </c>
      <c r="J181" s="5">
        <v>384.66</v>
      </c>
      <c r="K181" s="5">
        <v>393.03</v>
      </c>
      <c r="L181" s="5">
        <v>393.03</v>
      </c>
      <c r="M181" s="5">
        <v>249.39</v>
      </c>
      <c r="N181" s="5">
        <v>249.39</v>
      </c>
      <c r="O181" s="5">
        <v>249.39</v>
      </c>
      <c r="P181" s="5">
        <v>249.39</v>
      </c>
    </row>
    <row r="182" spans="1:16" ht="15" customHeight="1" x14ac:dyDescent="0.35">
      <c r="A182" s="1">
        <v>107</v>
      </c>
      <c r="B182" s="5">
        <v>85.82</v>
      </c>
      <c r="C182" s="5">
        <v>120.44</v>
      </c>
      <c r="D182" s="5">
        <v>219.28</v>
      </c>
      <c r="E182" s="5">
        <v>261.69</v>
      </c>
      <c r="F182" s="5">
        <v>267.08</v>
      </c>
      <c r="G182" s="5">
        <v>326.94</v>
      </c>
      <c r="H182" s="5">
        <v>348.33</v>
      </c>
      <c r="I182" s="5">
        <v>388.29</v>
      </c>
      <c r="J182" s="5">
        <v>388.29</v>
      </c>
      <c r="K182" s="5">
        <v>396.73</v>
      </c>
      <c r="L182" s="5">
        <v>396.73</v>
      </c>
      <c r="M182" s="5">
        <v>251.74</v>
      </c>
      <c r="N182" s="5">
        <v>251.74</v>
      </c>
      <c r="O182" s="5">
        <v>251.74</v>
      </c>
      <c r="P182" s="5">
        <v>251.74</v>
      </c>
    </row>
    <row r="183" spans="1:16" ht="15" customHeight="1" x14ac:dyDescent="0.35">
      <c r="A183" s="1">
        <v>108</v>
      </c>
      <c r="B183" s="5">
        <v>86.63</v>
      </c>
      <c r="C183" s="5">
        <v>121.56</v>
      </c>
      <c r="D183" s="5">
        <v>221.33</v>
      </c>
      <c r="E183" s="5">
        <v>264.14</v>
      </c>
      <c r="F183" s="5">
        <v>269.57</v>
      </c>
      <c r="G183" s="5">
        <v>329.99</v>
      </c>
      <c r="H183" s="5">
        <v>351.59</v>
      </c>
      <c r="I183" s="5">
        <v>391.92</v>
      </c>
      <c r="J183" s="5">
        <v>391.92</v>
      </c>
      <c r="K183" s="5">
        <v>400.44</v>
      </c>
      <c r="L183" s="5">
        <v>400.44</v>
      </c>
      <c r="M183" s="5">
        <v>254.09</v>
      </c>
      <c r="N183" s="5">
        <v>254.09</v>
      </c>
      <c r="O183" s="5">
        <v>254.09</v>
      </c>
      <c r="P183" s="5">
        <v>254.09</v>
      </c>
    </row>
    <row r="184" spans="1:16" ht="15" customHeight="1" x14ac:dyDescent="0.35">
      <c r="A184" s="1">
        <v>109</v>
      </c>
      <c r="B184" s="5">
        <v>87.43</v>
      </c>
      <c r="C184" s="5">
        <v>122.69</v>
      </c>
      <c r="D184" s="5">
        <v>223.37</v>
      </c>
      <c r="E184" s="5">
        <v>266.58999999999997</v>
      </c>
      <c r="F184" s="5">
        <v>272.07</v>
      </c>
      <c r="G184" s="5">
        <v>333.05</v>
      </c>
      <c r="H184" s="5">
        <v>354.85</v>
      </c>
      <c r="I184" s="5">
        <v>395.55</v>
      </c>
      <c r="J184" s="5">
        <v>395.55</v>
      </c>
      <c r="K184" s="5">
        <v>404.14</v>
      </c>
      <c r="L184" s="5">
        <v>404.14</v>
      </c>
      <c r="M184" s="5">
        <v>256.44</v>
      </c>
      <c r="N184" s="5">
        <v>256.44</v>
      </c>
      <c r="O184" s="5">
        <v>256.44</v>
      </c>
      <c r="P184" s="5">
        <v>256.44</v>
      </c>
    </row>
    <row r="185" spans="1:16" ht="15" customHeight="1" x14ac:dyDescent="0.35">
      <c r="A185" s="1">
        <v>110</v>
      </c>
      <c r="B185" s="5">
        <v>88.23</v>
      </c>
      <c r="C185" s="5">
        <v>123.82</v>
      </c>
      <c r="D185" s="5">
        <v>225.43</v>
      </c>
      <c r="E185" s="5">
        <v>269.02999999999997</v>
      </c>
      <c r="F185" s="5">
        <v>274.57</v>
      </c>
      <c r="G185" s="5">
        <v>336.1</v>
      </c>
      <c r="H185" s="5">
        <v>358.1</v>
      </c>
      <c r="I185" s="5">
        <v>399.18</v>
      </c>
      <c r="J185" s="5">
        <v>399.18</v>
      </c>
      <c r="K185" s="5">
        <v>407.85</v>
      </c>
      <c r="L185" s="5">
        <v>407.85</v>
      </c>
      <c r="M185" s="5">
        <v>258.8</v>
      </c>
      <c r="N185" s="5">
        <v>258.8</v>
      </c>
      <c r="O185" s="5">
        <v>258.8</v>
      </c>
      <c r="P185" s="5">
        <v>258.8</v>
      </c>
    </row>
    <row r="186" spans="1:16" ht="15" customHeight="1" x14ac:dyDescent="0.35">
      <c r="A186" s="1">
        <v>111</v>
      </c>
      <c r="B186" s="5">
        <v>89.03</v>
      </c>
      <c r="C186" s="5">
        <v>124.94</v>
      </c>
      <c r="D186" s="5">
        <v>227.48</v>
      </c>
      <c r="E186" s="5">
        <v>271.48</v>
      </c>
      <c r="F186" s="5">
        <v>277.06</v>
      </c>
      <c r="G186" s="5">
        <v>339.16</v>
      </c>
      <c r="H186" s="5">
        <v>361.36</v>
      </c>
      <c r="I186" s="5">
        <v>402.81</v>
      </c>
      <c r="J186" s="5">
        <v>402.81</v>
      </c>
      <c r="K186" s="5">
        <v>411.56</v>
      </c>
      <c r="L186" s="5">
        <v>411.56</v>
      </c>
      <c r="M186" s="5">
        <v>261.14999999999998</v>
      </c>
      <c r="N186" s="5">
        <v>261.14999999999998</v>
      </c>
      <c r="O186" s="5">
        <v>261.14999999999998</v>
      </c>
      <c r="P186" s="5">
        <v>261.14999999999998</v>
      </c>
    </row>
    <row r="187" spans="1:16" ht="15" customHeight="1" x14ac:dyDescent="0.35">
      <c r="A187" s="1">
        <v>112</v>
      </c>
      <c r="B187" s="5">
        <v>89.84</v>
      </c>
      <c r="C187" s="5">
        <v>126.07</v>
      </c>
      <c r="D187" s="5">
        <v>229.52</v>
      </c>
      <c r="E187" s="5">
        <v>273.93</v>
      </c>
      <c r="F187" s="5">
        <v>279.56</v>
      </c>
      <c r="G187" s="5">
        <v>342.22</v>
      </c>
      <c r="H187" s="5">
        <v>364.61</v>
      </c>
      <c r="I187" s="5">
        <v>406.44</v>
      </c>
      <c r="J187" s="5">
        <v>406.44</v>
      </c>
      <c r="K187" s="5">
        <v>415.27</v>
      </c>
      <c r="L187" s="5">
        <v>415.27</v>
      </c>
      <c r="M187" s="5">
        <v>263.5</v>
      </c>
      <c r="N187" s="5">
        <v>263.5</v>
      </c>
      <c r="O187" s="5">
        <v>263.5</v>
      </c>
      <c r="P187" s="5">
        <v>263.5</v>
      </c>
    </row>
    <row r="188" spans="1:16" ht="15" customHeight="1" x14ac:dyDescent="0.35">
      <c r="A188" s="1">
        <v>113</v>
      </c>
      <c r="B188" s="5">
        <v>90.64</v>
      </c>
      <c r="C188" s="5">
        <v>127.19</v>
      </c>
      <c r="D188" s="5">
        <v>231.57</v>
      </c>
      <c r="E188" s="5">
        <v>276.37</v>
      </c>
      <c r="F188" s="5">
        <v>282.06</v>
      </c>
      <c r="G188" s="5">
        <v>345.27</v>
      </c>
      <c r="H188" s="5">
        <v>367.87</v>
      </c>
      <c r="I188" s="5">
        <v>410.07</v>
      </c>
      <c r="J188" s="5">
        <v>410.07</v>
      </c>
      <c r="K188" s="5">
        <v>418.98</v>
      </c>
      <c r="L188" s="5">
        <v>418.98</v>
      </c>
      <c r="M188" s="5">
        <v>265.86</v>
      </c>
      <c r="N188" s="5">
        <v>265.86</v>
      </c>
      <c r="O188" s="5">
        <v>265.86</v>
      </c>
      <c r="P188" s="5">
        <v>265.86</v>
      </c>
    </row>
    <row r="189" spans="1:16" ht="15" customHeight="1" x14ac:dyDescent="0.35">
      <c r="A189" s="1">
        <v>114</v>
      </c>
      <c r="B189" s="5">
        <v>91.44</v>
      </c>
      <c r="C189" s="5">
        <v>128.32</v>
      </c>
      <c r="D189" s="5">
        <v>233.63</v>
      </c>
      <c r="E189" s="5">
        <v>278.82</v>
      </c>
      <c r="F189" s="5">
        <v>284.55</v>
      </c>
      <c r="G189" s="5">
        <v>348.33</v>
      </c>
      <c r="H189" s="5">
        <v>371.12</v>
      </c>
      <c r="I189" s="5">
        <v>413.69</v>
      </c>
      <c r="J189" s="5">
        <v>413.69</v>
      </c>
      <c r="K189" s="5">
        <v>422.69</v>
      </c>
      <c r="L189" s="5">
        <v>422.69</v>
      </c>
      <c r="M189" s="5">
        <v>268.20999999999998</v>
      </c>
      <c r="N189" s="5">
        <v>268.20999999999998</v>
      </c>
      <c r="O189" s="5">
        <v>268.20999999999998</v>
      </c>
      <c r="P189" s="5">
        <v>268.20999999999998</v>
      </c>
    </row>
    <row r="190" spans="1:16" ht="15" customHeight="1" x14ac:dyDescent="0.35">
      <c r="A190" s="1">
        <v>115</v>
      </c>
      <c r="B190" s="5">
        <v>92.24</v>
      </c>
      <c r="C190" s="5">
        <v>129.44</v>
      </c>
      <c r="D190" s="5">
        <v>235.67</v>
      </c>
      <c r="E190" s="5">
        <v>281.27</v>
      </c>
      <c r="F190" s="5">
        <v>287.05</v>
      </c>
      <c r="G190" s="5">
        <v>351.38</v>
      </c>
      <c r="H190" s="5">
        <v>374.38</v>
      </c>
      <c r="I190" s="5">
        <v>417.32</v>
      </c>
      <c r="J190" s="5">
        <v>417.32</v>
      </c>
      <c r="K190" s="5">
        <v>426.4</v>
      </c>
      <c r="L190" s="5">
        <v>426.4</v>
      </c>
      <c r="M190" s="5">
        <v>270.56</v>
      </c>
      <c r="N190" s="5">
        <v>270.56</v>
      </c>
      <c r="O190" s="5">
        <v>270.56</v>
      </c>
      <c r="P190" s="5">
        <v>270.56</v>
      </c>
    </row>
    <row r="191" spans="1:16" ht="15" customHeight="1" x14ac:dyDescent="0.35">
      <c r="A191" s="1">
        <v>116</v>
      </c>
      <c r="B191" s="5">
        <v>93.04</v>
      </c>
      <c r="C191" s="5">
        <v>130.57</v>
      </c>
      <c r="D191" s="5">
        <v>237.72</v>
      </c>
      <c r="E191" s="5">
        <v>283.70999999999998</v>
      </c>
      <c r="F191" s="5">
        <v>289.55</v>
      </c>
      <c r="G191" s="5">
        <v>354.44</v>
      </c>
      <c r="H191" s="5">
        <v>377.64</v>
      </c>
      <c r="I191" s="5">
        <v>420.95</v>
      </c>
      <c r="J191" s="5">
        <v>420.95</v>
      </c>
      <c r="K191" s="5">
        <v>430.1</v>
      </c>
      <c r="L191" s="5">
        <v>430.1</v>
      </c>
      <c r="M191" s="5">
        <v>272.91000000000003</v>
      </c>
      <c r="N191" s="5">
        <v>272.91000000000003</v>
      </c>
      <c r="O191" s="5">
        <v>272.91000000000003</v>
      </c>
      <c r="P191" s="5">
        <v>272.91000000000003</v>
      </c>
    </row>
    <row r="192" spans="1:16" ht="15" customHeight="1" x14ac:dyDescent="0.35">
      <c r="A192" s="1">
        <v>117</v>
      </c>
      <c r="B192" s="5">
        <v>93.85</v>
      </c>
      <c r="C192" s="5">
        <v>131.69999999999999</v>
      </c>
      <c r="D192" s="5">
        <v>239.77</v>
      </c>
      <c r="E192" s="5">
        <v>286.16000000000003</v>
      </c>
      <c r="F192" s="5">
        <v>292.04000000000002</v>
      </c>
      <c r="G192" s="5">
        <v>357.49</v>
      </c>
      <c r="H192" s="5">
        <v>380.89</v>
      </c>
      <c r="I192" s="5">
        <v>424.58</v>
      </c>
      <c r="J192" s="5">
        <v>424.58</v>
      </c>
      <c r="K192" s="5">
        <v>433.81</v>
      </c>
      <c r="L192" s="5">
        <v>433.81</v>
      </c>
      <c r="M192" s="5">
        <v>275.27</v>
      </c>
      <c r="N192" s="5">
        <v>275.27</v>
      </c>
      <c r="O192" s="5">
        <v>275.27</v>
      </c>
      <c r="P192" s="5">
        <v>275.27</v>
      </c>
    </row>
    <row r="193" spans="1:16" ht="15" customHeight="1" x14ac:dyDescent="0.35">
      <c r="A193" s="1">
        <v>118</v>
      </c>
      <c r="B193" s="5">
        <v>94.65</v>
      </c>
      <c r="C193" s="5">
        <v>132.82</v>
      </c>
      <c r="D193" s="5">
        <v>241.82</v>
      </c>
      <c r="E193" s="5">
        <v>288.61</v>
      </c>
      <c r="F193" s="5">
        <v>294.52999999999997</v>
      </c>
      <c r="G193" s="5">
        <v>360.55</v>
      </c>
      <c r="H193" s="5">
        <v>384.14</v>
      </c>
      <c r="I193" s="5">
        <v>428.21</v>
      </c>
      <c r="J193" s="5">
        <v>428.21</v>
      </c>
      <c r="K193" s="5">
        <v>437.52</v>
      </c>
      <c r="L193" s="5">
        <v>437.52</v>
      </c>
      <c r="M193" s="5">
        <v>277.62</v>
      </c>
      <c r="N193" s="5">
        <v>277.62</v>
      </c>
      <c r="O193" s="5">
        <v>277.62</v>
      </c>
      <c r="P193" s="5">
        <v>277.62</v>
      </c>
    </row>
    <row r="194" spans="1:16" ht="15" customHeight="1" x14ac:dyDescent="0.35">
      <c r="A194" s="1">
        <v>119</v>
      </c>
      <c r="B194" s="5">
        <v>95.45</v>
      </c>
      <c r="C194" s="5">
        <v>133.94999999999999</v>
      </c>
      <c r="D194" s="5">
        <v>243.87</v>
      </c>
      <c r="E194" s="5">
        <v>291.05</v>
      </c>
      <c r="F194" s="5">
        <v>297.02999999999997</v>
      </c>
      <c r="G194" s="5">
        <v>363.6</v>
      </c>
      <c r="H194" s="5">
        <v>387.4</v>
      </c>
      <c r="I194" s="5">
        <v>431.84</v>
      </c>
      <c r="J194" s="5">
        <v>431.84</v>
      </c>
      <c r="K194" s="5">
        <v>441.22</v>
      </c>
      <c r="L194" s="5">
        <v>441.22</v>
      </c>
      <c r="M194" s="5">
        <v>279.97000000000003</v>
      </c>
      <c r="N194" s="5">
        <v>279.97000000000003</v>
      </c>
      <c r="O194" s="5">
        <v>279.97000000000003</v>
      </c>
      <c r="P194" s="5">
        <v>279.97000000000003</v>
      </c>
    </row>
    <row r="195" spans="1:16" ht="15" customHeight="1" x14ac:dyDescent="0.35">
      <c r="A195" s="1">
        <v>120</v>
      </c>
      <c r="B195" s="5">
        <v>96.25</v>
      </c>
      <c r="C195" s="5">
        <v>135.07</v>
      </c>
      <c r="D195" s="5">
        <v>245.92</v>
      </c>
      <c r="E195" s="5">
        <v>293.5</v>
      </c>
      <c r="F195" s="5">
        <v>299.52</v>
      </c>
      <c r="G195" s="5">
        <v>366.66</v>
      </c>
      <c r="H195" s="5">
        <v>390.66</v>
      </c>
      <c r="I195" s="5">
        <v>435.47</v>
      </c>
      <c r="J195" s="5">
        <v>435.47</v>
      </c>
      <c r="K195" s="5">
        <v>444.93</v>
      </c>
      <c r="L195" s="5">
        <v>444.93</v>
      </c>
      <c r="M195" s="5">
        <v>282.32</v>
      </c>
      <c r="N195" s="5">
        <v>282.32</v>
      </c>
      <c r="O195" s="5">
        <v>282.32</v>
      </c>
      <c r="P195" s="5">
        <v>282.32</v>
      </c>
    </row>
    <row r="196" spans="1:16" ht="15" customHeight="1" x14ac:dyDescent="0.35">
      <c r="A196" s="1">
        <v>121</v>
      </c>
      <c r="B196" s="5">
        <v>97.05</v>
      </c>
      <c r="C196" s="5">
        <v>136.19999999999999</v>
      </c>
      <c r="D196" s="5">
        <v>247.96</v>
      </c>
      <c r="E196" s="5">
        <v>295.94</v>
      </c>
      <c r="F196" s="5">
        <v>302.02</v>
      </c>
      <c r="G196" s="5">
        <v>369.72</v>
      </c>
      <c r="H196" s="5">
        <v>393.92</v>
      </c>
      <c r="I196" s="5">
        <v>439.1</v>
      </c>
      <c r="J196" s="5">
        <v>439.1</v>
      </c>
      <c r="K196" s="5">
        <v>448.64</v>
      </c>
      <c r="L196" s="5">
        <v>448.64</v>
      </c>
      <c r="M196" s="5">
        <v>284.68</v>
      </c>
      <c r="N196" s="5">
        <v>284.68</v>
      </c>
      <c r="O196" s="5">
        <v>284.68</v>
      </c>
      <c r="P196" s="5">
        <v>284.68</v>
      </c>
    </row>
    <row r="197" spans="1:16" ht="15" customHeight="1" x14ac:dyDescent="0.35">
      <c r="A197" s="1">
        <v>122</v>
      </c>
      <c r="B197" s="5">
        <v>97.86</v>
      </c>
      <c r="C197" s="5">
        <v>137.32</v>
      </c>
      <c r="D197" s="5">
        <v>250.02</v>
      </c>
      <c r="E197" s="5">
        <v>298.39</v>
      </c>
      <c r="F197" s="5">
        <v>304.52</v>
      </c>
      <c r="G197" s="5">
        <v>372.77</v>
      </c>
      <c r="H197" s="5">
        <v>397.16</v>
      </c>
      <c r="I197" s="5">
        <v>442.73</v>
      </c>
      <c r="J197" s="5">
        <v>442.73</v>
      </c>
      <c r="K197" s="5">
        <v>452.35</v>
      </c>
      <c r="L197" s="5">
        <v>452.35</v>
      </c>
      <c r="M197" s="5">
        <v>287.02999999999997</v>
      </c>
      <c r="N197" s="5">
        <v>287.02999999999997</v>
      </c>
      <c r="O197" s="5">
        <v>287.02999999999997</v>
      </c>
      <c r="P197" s="5">
        <v>287.02999999999997</v>
      </c>
    </row>
    <row r="198" spans="1:16" ht="15" customHeight="1" x14ac:dyDescent="0.35">
      <c r="A198" s="1">
        <v>123</v>
      </c>
      <c r="B198" s="5">
        <v>98.66</v>
      </c>
      <c r="C198" s="5">
        <v>138.44999999999999</v>
      </c>
      <c r="D198" s="5">
        <v>252.07</v>
      </c>
      <c r="E198" s="5">
        <v>300.83999999999997</v>
      </c>
      <c r="F198" s="5">
        <v>307.01</v>
      </c>
      <c r="G198" s="5">
        <v>375.83</v>
      </c>
      <c r="H198" s="5">
        <v>400.42</v>
      </c>
      <c r="I198" s="5">
        <v>446.35</v>
      </c>
      <c r="J198" s="5">
        <v>446.35</v>
      </c>
      <c r="K198" s="5">
        <v>456.05</v>
      </c>
      <c r="L198" s="5">
        <v>456.05</v>
      </c>
      <c r="M198" s="5">
        <v>289.38</v>
      </c>
      <c r="N198" s="5">
        <v>289.38</v>
      </c>
      <c r="O198" s="5">
        <v>289.38</v>
      </c>
      <c r="P198" s="5">
        <v>289.38</v>
      </c>
    </row>
    <row r="199" spans="1:16" ht="15" customHeight="1" x14ac:dyDescent="0.35">
      <c r="A199" s="1">
        <v>124</v>
      </c>
      <c r="B199" s="5">
        <v>99.46</v>
      </c>
      <c r="C199" s="5">
        <v>139.57</v>
      </c>
      <c r="D199" s="5">
        <v>254.11</v>
      </c>
      <c r="E199" s="5">
        <v>303.27</v>
      </c>
      <c r="F199" s="5">
        <v>309.51</v>
      </c>
      <c r="G199" s="5">
        <v>378.88</v>
      </c>
      <c r="H199" s="5">
        <v>403.68</v>
      </c>
      <c r="I199" s="5">
        <v>449.98</v>
      </c>
      <c r="J199" s="5">
        <v>449.98</v>
      </c>
      <c r="K199" s="5">
        <v>459.76</v>
      </c>
      <c r="L199" s="5">
        <v>459.76</v>
      </c>
      <c r="M199" s="5">
        <v>291.73</v>
      </c>
      <c r="N199" s="5">
        <v>291.73</v>
      </c>
      <c r="O199" s="5">
        <v>291.73</v>
      </c>
      <c r="P199" s="5">
        <v>291.73</v>
      </c>
    </row>
    <row r="200" spans="1:16" ht="15" customHeight="1" x14ac:dyDescent="0.35">
      <c r="A200" s="1">
        <v>125</v>
      </c>
      <c r="B200" s="5">
        <v>100.26</v>
      </c>
      <c r="C200" s="5">
        <v>140.69999999999999</v>
      </c>
      <c r="D200" s="5">
        <v>256.16000000000003</v>
      </c>
      <c r="E200" s="5">
        <v>305.72000000000003</v>
      </c>
      <c r="F200" s="5">
        <v>312</v>
      </c>
      <c r="G200" s="5">
        <v>381.94</v>
      </c>
      <c r="H200" s="5">
        <v>406.93</v>
      </c>
      <c r="I200" s="5">
        <v>453.61</v>
      </c>
      <c r="J200" s="5">
        <v>453.61</v>
      </c>
      <c r="K200" s="5">
        <v>463.47</v>
      </c>
      <c r="L200" s="5">
        <v>463.47</v>
      </c>
      <c r="M200" s="5">
        <v>294.08999999999997</v>
      </c>
      <c r="N200" s="5">
        <v>294.08999999999997</v>
      </c>
      <c r="O200" s="5">
        <v>294.08999999999997</v>
      </c>
      <c r="P200" s="5">
        <v>294.08999999999997</v>
      </c>
    </row>
    <row r="201" spans="1:16" ht="15" customHeight="1" x14ac:dyDescent="0.35">
      <c r="A201" s="1">
        <v>126</v>
      </c>
      <c r="B201" s="5">
        <v>101.06</v>
      </c>
      <c r="C201" s="5">
        <v>141.83000000000001</v>
      </c>
      <c r="D201" s="5">
        <v>258.22000000000003</v>
      </c>
      <c r="E201" s="5">
        <v>308.17</v>
      </c>
      <c r="F201" s="5">
        <v>314.5</v>
      </c>
      <c r="G201" s="5">
        <v>384.99</v>
      </c>
      <c r="H201" s="5">
        <v>410.19</v>
      </c>
      <c r="I201" s="5">
        <v>457.24</v>
      </c>
      <c r="J201" s="5">
        <v>457.24</v>
      </c>
      <c r="K201" s="5">
        <v>467.18</v>
      </c>
      <c r="L201" s="5">
        <v>467.18</v>
      </c>
      <c r="M201" s="5">
        <v>296.44</v>
      </c>
      <c r="N201" s="5">
        <v>296.44</v>
      </c>
      <c r="O201" s="5">
        <v>296.44</v>
      </c>
      <c r="P201" s="5">
        <v>296.44</v>
      </c>
    </row>
    <row r="202" spans="1:16" ht="15" customHeight="1" x14ac:dyDescent="0.35">
      <c r="A202" s="1">
        <v>127</v>
      </c>
      <c r="B202" s="5">
        <v>101.87</v>
      </c>
      <c r="C202" s="5">
        <v>142.94999999999999</v>
      </c>
      <c r="D202" s="5">
        <v>260.26</v>
      </c>
      <c r="E202" s="5">
        <v>310.61</v>
      </c>
      <c r="F202" s="5">
        <v>317</v>
      </c>
      <c r="G202" s="5">
        <v>388.05</v>
      </c>
      <c r="H202" s="5">
        <v>413.45</v>
      </c>
      <c r="I202" s="5">
        <v>460.87</v>
      </c>
      <c r="J202" s="5">
        <v>460.87</v>
      </c>
      <c r="K202" s="5">
        <v>470.89</v>
      </c>
      <c r="L202" s="5">
        <v>470.89</v>
      </c>
      <c r="M202" s="5">
        <v>298.79000000000002</v>
      </c>
      <c r="N202" s="5">
        <v>298.79000000000002</v>
      </c>
      <c r="O202" s="5">
        <v>298.79000000000002</v>
      </c>
      <c r="P202" s="5">
        <v>298.79000000000002</v>
      </c>
    </row>
    <row r="203" spans="1:16" ht="15" customHeight="1" x14ac:dyDescent="0.35">
      <c r="A203" s="1">
        <v>128</v>
      </c>
      <c r="B203" s="5">
        <v>102.67</v>
      </c>
      <c r="C203" s="5">
        <v>144.08000000000001</v>
      </c>
      <c r="D203" s="5">
        <v>262.31</v>
      </c>
      <c r="E203" s="5">
        <v>313.06</v>
      </c>
      <c r="F203" s="5">
        <v>319.49</v>
      </c>
      <c r="G203" s="5">
        <v>391.1</v>
      </c>
      <c r="H203" s="5">
        <v>416.7</v>
      </c>
      <c r="I203" s="5">
        <v>464.5</v>
      </c>
      <c r="J203" s="5">
        <v>464.5</v>
      </c>
      <c r="K203" s="5">
        <v>474.6</v>
      </c>
      <c r="L203" s="5">
        <v>474.6</v>
      </c>
      <c r="M203" s="5">
        <v>301.14999999999998</v>
      </c>
      <c r="N203" s="5">
        <v>301.14999999999998</v>
      </c>
      <c r="O203" s="5">
        <v>301.14999999999998</v>
      </c>
      <c r="P203" s="5">
        <v>301.14999999999998</v>
      </c>
    </row>
    <row r="204" spans="1:16" ht="15" customHeight="1" x14ac:dyDescent="0.35">
      <c r="A204" s="1">
        <v>129</v>
      </c>
      <c r="B204" s="5">
        <v>103.47</v>
      </c>
      <c r="C204" s="5">
        <v>145.19999999999999</v>
      </c>
      <c r="D204" s="5">
        <v>264.37</v>
      </c>
      <c r="E204" s="5">
        <v>315.51</v>
      </c>
      <c r="F204" s="5">
        <v>321.99</v>
      </c>
      <c r="G204" s="5">
        <v>394.16</v>
      </c>
      <c r="H204" s="5">
        <v>419.95</v>
      </c>
      <c r="I204" s="5">
        <v>468.13</v>
      </c>
      <c r="J204" s="5">
        <v>468.13</v>
      </c>
      <c r="K204" s="5">
        <v>478.31</v>
      </c>
      <c r="L204" s="5">
        <v>478.31</v>
      </c>
      <c r="M204" s="5">
        <v>303.5</v>
      </c>
      <c r="N204" s="5">
        <v>303.5</v>
      </c>
      <c r="O204" s="5">
        <v>303.5</v>
      </c>
      <c r="P204" s="5">
        <v>303.5</v>
      </c>
    </row>
    <row r="205" spans="1:16" ht="15" customHeight="1" x14ac:dyDescent="0.35">
      <c r="A205" s="1">
        <v>130</v>
      </c>
      <c r="B205" s="5">
        <v>104.27</v>
      </c>
      <c r="C205" s="5">
        <v>146.33000000000001</v>
      </c>
      <c r="D205" s="5">
        <v>266.41000000000003</v>
      </c>
      <c r="E205" s="5">
        <v>317.95</v>
      </c>
      <c r="F205" s="5">
        <v>324.49</v>
      </c>
      <c r="G205" s="5">
        <v>397.21</v>
      </c>
      <c r="H205" s="5">
        <v>423.21</v>
      </c>
      <c r="I205" s="5">
        <v>471.76</v>
      </c>
      <c r="J205" s="5">
        <v>471.76</v>
      </c>
      <c r="K205" s="5">
        <v>482.01</v>
      </c>
      <c r="L205" s="5">
        <v>482.01</v>
      </c>
      <c r="M205" s="5">
        <v>305.85000000000002</v>
      </c>
      <c r="N205" s="5">
        <v>305.85000000000002</v>
      </c>
      <c r="O205" s="5">
        <v>305.85000000000002</v>
      </c>
      <c r="P205" s="5">
        <v>305.85000000000002</v>
      </c>
    </row>
    <row r="206" spans="1:16" ht="15" customHeight="1" x14ac:dyDescent="0.35">
      <c r="A206" s="1">
        <v>131</v>
      </c>
      <c r="B206" s="5">
        <v>105.08</v>
      </c>
      <c r="C206" s="5">
        <v>147.44999999999999</v>
      </c>
      <c r="D206" s="5">
        <v>268.45999999999998</v>
      </c>
      <c r="E206" s="5">
        <v>320.39999999999998</v>
      </c>
      <c r="F206" s="5">
        <v>326.98</v>
      </c>
      <c r="G206" s="5">
        <v>400.27</v>
      </c>
      <c r="H206" s="5">
        <v>426.47</v>
      </c>
      <c r="I206" s="5">
        <v>475.39</v>
      </c>
      <c r="J206" s="5">
        <v>475.39</v>
      </c>
      <c r="K206" s="5">
        <v>485.72</v>
      </c>
      <c r="L206" s="5">
        <v>485.72</v>
      </c>
      <c r="M206" s="5">
        <v>308.2</v>
      </c>
      <c r="N206" s="5">
        <v>308.2</v>
      </c>
      <c r="O206" s="5">
        <v>308.2</v>
      </c>
      <c r="P206" s="5">
        <v>308.2</v>
      </c>
    </row>
    <row r="207" spans="1:16" ht="15" customHeight="1" x14ac:dyDescent="0.35">
      <c r="A207" s="1">
        <v>132</v>
      </c>
      <c r="B207" s="5">
        <v>105.88</v>
      </c>
      <c r="C207" s="5">
        <v>148.58000000000001</v>
      </c>
      <c r="D207" s="5">
        <v>270.51</v>
      </c>
      <c r="E207" s="5">
        <v>322.83999999999997</v>
      </c>
      <c r="F207" s="5">
        <v>329.48</v>
      </c>
      <c r="G207" s="5">
        <v>403.33</v>
      </c>
      <c r="H207" s="5">
        <v>429.73</v>
      </c>
      <c r="I207" s="5">
        <v>479.01</v>
      </c>
      <c r="J207" s="5">
        <v>479.01</v>
      </c>
      <c r="K207" s="5">
        <v>489.42</v>
      </c>
      <c r="L207" s="5">
        <v>489.42</v>
      </c>
      <c r="M207" s="5">
        <v>310.56</v>
      </c>
      <c r="N207" s="5">
        <v>310.56</v>
      </c>
      <c r="O207" s="5">
        <v>310.56</v>
      </c>
      <c r="P207" s="5">
        <v>310.56</v>
      </c>
    </row>
    <row r="208" spans="1:16" ht="15" customHeight="1" x14ac:dyDescent="0.35">
      <c r="A208" s="1">
        <v>133</v>
      </c>
      <c r="B208" s="5">
        <v>106.68</v>
      </c>
      <c r="C208" s="5">
        <v>149.69999999999999</v>
      </c>
      <c r="D208" s="5">
        <v>272.56</v>
      </c>
      <c r="E208" s="5">
        <v>325.29000000000002</v>
      </c>
      <c r="F208" s="5">
        <v>331.98</v>
      </c>
      <c r="G208" s="5">
        <v>406.38</v>
      </c>
      <c r="H208" s="5">
        <v>432.97</v>
      </c>
      <c r="I208" s="5">
        <v>482.64</v>
      </c>
      <c r="J208" s="5">
        <v>482.64</v>
      </c>
      <c r="K208" s="5">
        <v>493.13</v>
      </c>
      <c r="L208" s="5">
        <v>493.13</v>
      </c>
      <c r="M208" s="5">
        <v>312.91000000000003</v>
      </c>
      <c r="N208" s="5">
        <v>312.91000000000003</v>
      </c>
      <c r="O208" s="5">
        <v>312.91000000000003</v>
      </c>
      <c r="P208" s="5">
        <v>312.91000000000003</v>
      </c>
    </row>
    <row r="209" spans="1:16" ht="15" customHeight="1" x14ac:dyDescent="0.35">
      <c r="A209" s="1">
        <v>134</v>
      </c>
      <c r="B209" s="5">
        <v>107.48</v>
      </c>
      <c r="C209" s="5">
        <v>150.83000000000001</v>
      </c>
      <c r="D209" s="5">
        <v>274.61</v>
      </c>
      <c r="E209" s="5">
        <v>327.74</v>
      </c>
      <c r="F209" s="5">
        <v>334.47</v>
      </c>
      <c r="G209" s="5">
        <v>409.44</v>
      </c>
      <c r="H209" s="5">
        <v>436.23</v>
      </c>
      <c r="I209" s="5">
        <v>486.27</v>
      </c>
      <c r="J209" s="5">
        <v>486.27</v>
      </c>
      <c r="K209" s="5">
        <v>496.84</v>
      </c>
      <c r="L209" s="5">
        <v>496.84</v>
      </c>
      <c r="M209" s="5">
        <v>315.26</v>
      </c>
      <c r="N209" s="5">
        <v>315.26</v>
      </c>
      <c r="O209" s="5">
        <v>315.26</v>
      </c>
      <c r="P209" s="5">
        <v>315.26</v>
      </c>
    </row>
    <row r="210" spans="1:16" ht="15" customHeight="1" x14ac:dyDescent="0.35">
      <c r="A210" s="1">
        <v>135</v>
      </c>
      <c r="B210" s="5">
        <v>108.28</v>
      </c>
      <c r="C210" s="5">
        <v>151.96</v>
      </c>
      <c r="D210" s="5">
        <v>276.66000000000003</v>
      </c>
      <c r="E210" s="5">
        <v>330.18</v>
      </c>
      <c r="F210" s="5">
        <v>336.97</v>
      </c>
      <c r="G210" s="5">
        <v>412.49</v>
      </c>
      <c r="H210" s="5">
        <v>439.49</v>
      </c>
      <c r="I210" s="5">
        <v>489.9</v>
      </c>
      <c r="J210" s="5">
        <v>489.9</v>
      </c>
      <c r="K210" s="5">
        <v>500.55</v>
      </c>
      <c r="L210" s="5">
        <v>500.55</v>
      </c>
      <c r="M210" s="5">
        <v>317.61</v>
      </c>
      <c r="N210" s="5">
        <v>317.61</v>
      </c>
      <c r="O210" s="5">
        <v>317.61</v>
      </c>
      <c r="P210" s="5">
        <v>317.61</v>
      </c>
    </row>
    <row r="211" spans="1:16" ht="15" customHeight="1" x14ac:dyDescent="0.35">
      <c r="A211" s="1">
        <v>136</v>
      </c>
      <c r="B211" s="5">
        <v>109.09</v>
      </c>
      <c r="C211" s="5">
        <v>153.08000000000001</v>
      </c>
      <c r="D211" s="5">
        <v>278.70999999999998</v>
      </c>
      <c r="E211" s="5">
        <v>332.63</v>
      </c>
      <c r="F211" s="5">
        <v>339.46</v>
      </c>
      <c r="G211" s="5">
        <v>415.55</v>
      </c>
      <c r="H211" s="5">
        <v>442.75</v>
      </c>
      <c r="I211" s="5">
        <v>493.53</v>
      </c>
      <c r="J211" s="5">
        <v>493.53</v>
      </c>
      <c r="K211" s="5">
        <v>504.26</v>
      </c>
      <c r="L211" s="5">
        <v>504.26</v>
      </c>
      <c r="M211" s="5">
        <v>319.97000000000003</v>
      </c>
      <c r="N211" s="5">
        <v>319.97000000000003</v>
      </c>
      <c r="O211" s="5">
        <v>319.97000000000003</v>
      </c>
      <c r="P211" s="5">
        <v>319.97000000000003</v>
      </c>
    </row>
    <row r="212" spans="1:16" ht="15" customHeight="1" x14ac:dyDescent="0.35">
      <c r="A212" s="1">
        <v>137</v>
      </c>
      <c r="B212" s="5">
        <v>109.89</v>
      </c>
      <c r="C212" s="5">
        <v>154.21</v>
      </c>
      <c r="D212" s="5">
        <v>280.76</v>
      </c>
      <c r="E212" s="5">
        <v>335.08</v>
      </c>
      <c r="F212" s="5">
        <v>341.95</v>
      </c>
      <c r="G212" s="5">
        <v>418.6</v>
      </c>
      <c r="H212" s="5">
        <v>446</v>
      </c>
      <c r="I212" s="5">
        <v>497.16</v>
      </c>
      <c r="J212" s="5">
        <v>497.16</v>
      </c>
      <c r="K212" s="5">
        <v>507.96</v>
      </c>
      <c r="L212" s="5">
        <v>507.96</v>
      </c>
      <c r="M212" s="5">
        <v>322.32</v>
      </c>
      <c r="N212" s="5">
        <v>322.32</v>
      </c>
      <c r="O212" s="5">
        <v>322.32</v>
      </c>
      <c r="P212" s="5">
        <v>322.32</v>
      </c>
    </row>
    <row r="213" spans="1:16" ht="15" customHeight="1" x14ac:dyDescent="0.35">
      <c r="A213" s="1">
        <v>138</v>
      </c>
      <c r="B213" s="5">
        <v>110.69</v>
      </c>
      <c r="C213" s="5">
        <v>155.33000000000001</v>
      </c>
      <c r="D213" s="5">
        <v>282.81</v>
      </c>
      <c r="E213" s="5">
        <v>337.52</v>
      </c>
      <c r="F213" s="5">
        <v>344.45</v>
      </c>
      <c r="G213" s="5">
        <v>421.66</v>
      </c>
      <c r="H213" s="5">
        <v>449.25</v>
      </c>
      <c r="I213" s="5">
        <v>500.79</v>
      </c>
      <c r="J213" s="5">
        <v>500.79</v>
      </c>
      <c r="K213" s="5">
        <v>511.67</v>
      </c>
      <c r="L213" s="5">
        <v>511.67</v>
      </c>
      <c r="M213" s="5">
        <v>324.67</v>
      </c>
      <c r="N213" s="5">
        <v>324.67</v>
      </c>
      <c r="O213" s="5">
        <v>324.67</v>
      </c>
      <c r="P213" s="5">
        <v>324.67</v>
      </c>
    </row>
    <row r="214" spans="1:16" ht="15" customHeight="1" x14ac:dyDescent="0.35">
      <c r="A214" s="1">
        <v>139</v>
      </c>
      <c r="B214" s="5">
        <v>111.49</v>
      </c>
      <c r="C214" s="5">
        <v>156.46</v>
      </c>
      <c r="D214" s="5">
        <v>284.86</v>
      </c>
      <c r="E214" s="5">
        <v>339.97</v>
      </c>
      <c r="F214" s="5">
        <v>346.95</v>
      </c>
      <c r="G214" s="5">
        <v>424.71</v>
      </c>
      <c r="H214" s="5">
        <v>452.51</v>
      </c>
      <c r="I214" s="5">
        <v>504.42</v>
      </c>
      <c r="J214" s="5">
        <v>504.42</v>
      </c>
      <c r="K214" s="5">
        <v>515.38</v>
      </c>
      <c r="L214" s="5">
        <v>515.38</v>
      </c>
      <c r="M214" s="5">
        <v>327.02999999999997</v>
      </c>
      <c r="N214" s="5">
        <v>327.02999999999997</v>
      </c>
      <c r="O214" s="5">
        <v>327.02999999999997</v>
      </c>
      <c r="P214" s="5">
        <v>327.02999999999997</v>
      </c>
    </row>
    <row r="215" spans="1:16" ht="15" customHeight="1" x14ac:dyDescent="0.35">
      <c r="A215" s="1">
        <v>140</v>
      </c>
      <c r="B215" s="5">
        <v>112.29</v>
      </c>
      <c r="C215" s="5">
        <v>157.58000000000001</v>
      </c>
      <c r="D215" s="5">
        <v>286.89999999999998</v>
      </c>
      <c r="E215" s="5">
        <v>342.41</v>
      </c>
      <c r="F215" s="5">
        <v>349.44</v>
      </c>
      <c r="G215" s="5">
        <v>427.77</v>
      </c>
      <c r="H215" s="5">
        <v>455.77</v>
      </c>
      <c r="I215" s="5">
        <v>508.05</v>
      </c>
      <c r="J215" s="5">
        <v>508.05</v>
      </c>
      <c r="K215" s="5">
        <v>519.09</v>
      </c>
      <c r="L215" s="5">
        <v>519.09</v>
      </c>
      <c r="M215" s="5">
        <v>329.38</v>
      </c>
      <c r="N215" s="5">
        <v>329.38</v>
      </c>
      <c r="O215" s="5">
        <v>329.38</v>
      </c>
      <c r="P215" s="5">
        <v>329.38</v>
      </c>
    </row>
    <row r="216" spans="1:16" ht="15" customHeight="1" x14ac:dyDescent="0.35">
      <c r="A216" s="1">
        <v>141</v>
      </c>
      <c r="B216" s="5">
        <v>113.1</v>
      </c>
      <c r="C216" s="5">
        <v>158.71</v>
      </c>
      <c r="D216" s="5">
        <v>288.95999999999998</v>
      </c>
      <c r="E216" s="5">
        <v>344.85</v>
      </c>
      <c r="F216" s="5">
        <v>351.94</v>
      </c>
      <c r="G216" s="5">
        <v>430.83</v>
      </c>
      <c r="H216" s="5">
        <v>459.02</v>
      </c>
      <c r="I216" s="5">
        <v>511.67</v>
      </c>
      <c r="J216" s="5">
        <v>511.67</v>
      </c>
      <c r="K216" s="5">
        <v>522.79999999999995</v>
      </c>
      <c r="L216" s="5">
        <v>522.79999999999995</v>
      </c>
      <c r="M216" s="5">
        <v>331.73</v>
      </c>
      <c r="N216" s="5">
        <v>331.73</v>
      </c>
      <c r="O216" s="5">
        <v>331.73</v>
      </c>
      <c r="P216" s="5">
        <v>331.73</v>
      </c>
    </row>
    <row r="217" spans="1:16" ht="15" customHeight="1" x14ac:dyDescent="0.35">
      <c r="A217" s="1">
        <v>142</v>
      </c>
      <c r="B217" s="5">
        <v>113.9</v>
      </c>
      <c r="C217" s="5">
        <v>159.84</v>
      </c>
      <c r="D217" s="5">
        <v>291.01</v>
      </c>
      <c r="E217" s="5">
        <v>347.3</v>
      </c>
      <c r="F217" s="5">
        <v>354.44</v>
      </c>
      <c r="G217" s="5">
        <v>433.88</v>
      </c>
      <c r="H217" s="5">
        <v>462.28</v>
      </c>
      <c r="I217" s="5">
        <v>515.29999999999995</v>
      </c>
      <c r="J217" s="5">
        <v>515.29999999999995</v>
      </c>
      <c r="K217" s="5">
        <v>526.51</v>
      </c>
      <c r="L217" s="5">
        <v>526.51</v>
      </c>
      <c r="M217" s="5">
        <v>334.08</v>
      </c>
      <c r="N217" s="5">
        <v>334.08</v>
      </c>
      <c r="O217" s="5">
        <v>334.08</v>
      </c>
      <c r="P217" s="5">
        <v>334.08</v>
      </c>
    </row>
    <row r="218" spans="1:16" ht="15" customHeight="1" x14ac:dyDescent="0.35">
      <c r="A218" s="1">
        <v>143</v>
      </c>
      <c r="B218" s="5">
        <v>114.7</v>
      </c>
      <c r="C218" s="5">
        <v>160.96</v>
      </c>
      <c r="D218" s="5">
        <v>293.05</v>
      </c>
      <c r="E218" s="5">
        <v>349.75</v>
      </c>
      <c r="F218" s="5">
        <v>356.93</v>
      </c>
      <c r="G218" s="5">
        <v>436.94</v>
      </c>
      <c r="H218" s="5">
        <v>465.53</v>
      </c>
      <c r="I218" s="5">
        <v>518.92999999999995</v>
      </c>
      <c r="J218" s="5">
        <v>518.92999999999995</v>
      </c>
      <c r="K218" s="5">
        <v>530.22</v>
      </c>
      <c r="L218" s="5">
        <v>530.22</v>
      </c>
      <c r="M218" s="5">
        <v>336.44</v>
      </c>
      <c r="N218" s="5">
        <v>336.44</v>
      </c>
      <c r="O218" s="5">
        <v>336.44</v>
      </c>
      <c r="P218" s="5">
        <v>336.44</v>
      </c>
    </row>
    <row r="219" spans="1:16" ht="15" customHeight="1" x14ac:dyDescent="0.35">
      <c r="A219" s="1">
        <v>144</v>
      </c>
      <c r="B219" s="5">
        <v>115.5</v>
      </c>
      <c r="C219" s="5">
        <v>162.09</v>
      </c>
      <c r="D219" s="5">
        <v>295.10000000000002</v>
      </c>
      <c r="E219" s="5">
        <v>352.19</v>
      </c>
      <c r="F219" s="5">
        <v>359.43</v>
      </c>
      <c r="G219" s="5">
        <v>439.99</v>
      </c>
      <c r="H219" s="5">
        <v>468.79</v>
      </c>
      <c r="I219" s="5">
        <v>522.55999999999995</v>
      </c>
      <c r="J219" s="5">
        <v>522.55999999999995</v>
      </c>
      <c r="K219" s="5">
        <v>533.91</v>
      </c>
      <c r="L219" s="5">
        <v>533.91</v>
      </c>
      <c r="M219" s="5">
        <v>338.79</v>
      </c>
      <c r="N219" s="5">
        <v>338.79</v>
      </c>
      <c r="O219" s="5">
        <v>338.79</v>
      </c>
      <c r="P219" s="5">
        <v>338.79</v>
      </c>
    </row>
    <row r="220" spans="1:16" ht="15" customHeight="1" x14ac:dyDescent="0.35">
      <c r="A220" s="1">
        <v>145</v>
      </c>
      <c r="B220" s="5">
        <v>116.3</v>
      </c>
      <c r="C220" s="5">
        <v>163.21</v>
      </c>
      <c r="D220" s="5">
        <v>297.16000000000003</v>
      </c>
      <c r="E220" s="5">
        <v>354.64</v>
      </c>
      <c r="F220" s="5">
        <v>361.93</v>
      </c>
      <c r="G220" s="5">
        <v>443.05</v>
      </c>
      <c r="H220" s="5">
        <v>472.04</v>
      </c>
      <c r="I220" s="5">
        <v>526.19000000000005</v>
      </c>
      <c r="J220" s="5">
        <v>526.19000000000005</v>
      </c>
      <c r="K220" s="5">
        <v>537.62</v>
      </c>
      <c r="L220" s="5">
        <v>537.62</v>
      </c>
      <c r="M220" s="5">
        <v>341.14</v>
      </c>
      <c r="N220" s="5">
        <v>341.14</v>
      </c>
      <c r="O220" s="5">
        <v>341.14</v>
      </c>
      <c r="P220" s="5">
        <v>341.14</v>
      </c>
    </row>
    <row r="221" spans="1:16" ht="15" customHeight="1" x14ac:dyDescent="0.35">
      <c r="A221" s="1">
        <v>146</v>
      </c>
      <c r="B221" s="5">
        <v>117.11</v>
      </c>
      <c r="C221" s="5">
        <v>164.34</v>
      </c>
      <c r="D221" s="5">
        <v>299.2</v>
      </c>
      <c r="E221" s="5">
        <v>357.08</v>
      </c>
      <c r="F221" s="5">
        <v>364.42</v>
      </c>
      <c r="G221" s="5">
        <v>446.1</v>
      </c>
      <c r="H221" s="5">
        <v>475.3</v>
      </c>
      <c r="I221" s="5">
        <v>529.82000000000005</v>
      </c>
      <c r="J221" s="5">
        <v>529.82000000000005</v>
      </c>
      <c r="K221" s="5">
        <v>541.33000000000004</v>
      </c>
      <c r="L221" s="5">
        <v>541.33000000000004</v>
      </c>
      <c r="M221" s="5">
        <v>343.49</v>
      </c>
      <c r="N221" s="5">
        <v>343.49</v>
      </c>
      <c r="O221" s="5">
        <v>343.49</v>
      </c>
      <c r="P221" s="5">
        <v>343.49</v>
      </c>
    </row>
    <row r="222" spans="1:16" ht="15" customHeight="1" x14ac:dyDescent="0.35">
      <c r="A222" s="1">
        <v>147</v>
      </c>
      <c r="B222" s="5">
        <v>117.91</v>
      </c>
      <c r="C222" s="5">
        <v>165.46</v>
      </c>
      <c r="D222" s="5">
        <v>301.25</v>
      </c>
      <c r="E222" s="5">
        <v>359.53</v>
      </c>
      <c r="F222" s="5">
        <v>366.92</v>
      </c>
      <c r="G222" s="5">
        <v>449.16</v>
      </c>
      <c r="H222" s="5">
        <v>478.56</v>
      </c>
      <c r="I222" s="5">
        <v>533.45000000000005</v>
      </c>
      <c r="J222" s="5">
        <v>533.45000000000005</v>
      </c>
      <c r="K222" s="5">
        <v>545.04</v>
      </c>
      <c r="L222" s="5">
        <v>545.04</v>
      </c>
      <c r="M222" s="5">
        <v>345.85</v>
      </c>
      <c r="N222" s="5">
        <v>345.85</v>
      </c>
      <c r="O222" s="5">
        <v>345.85</v>
      </c>
      <c r="P222" s="5">
        <v>345.85</v>
      </c>
    </row>
    <row r="223" spans="1:16" ht="15" customHeight="1" x14ac:dyDescent="0.35">
      <c r="A223" s="1">
        <v>148</v>
      </c>
      <c r="B223" s="5">
        <v>118.71</v>
      </c>
      <c r="C223" s="5">
        <v>166.59</v>
      </c>
      <c r="D223" s="5">
        <v>303.3</v>
      </c>
      <c r="E223" s="5">
        <v>361.98</v>
      </c>
      <c r="F223" s="5">
        <v>369.42</v>
      </c>
      <c r="G223" s="5">
        <v>452.21</v>
      </c>
      <c r="H223" s="5">
        <v>481.81</v>
      </c>
      <c r="I223" s="5">
        <v>537.08000000000004</v>
      </c>
      <c r="J223" s="5">
        <v>537.08000000000004</v>
      </c>
      <c r="K223" s="5">
        <v>548.75</v>
      </c>
      <c r="L223" s="5">
        <v>548.75</v>
      </c>
      <c r="M223" s="5">
        <v>348.2</v>
      </c>
      <c r="N223" s="5">
        <v>348.2</v>
      </c>
      <c r="O223" s="5">
        <v>348.2</v>
      </c>
      <c r="P223" s="5">
        <v>348.2</v>
      </c>
    </row>
    <row r="224" spans="1:16" ht="15" customHeight="1" x14ac:dyDescent="0.35">
      <c r="A224" s="1">
        <v>149</v>
      </c>
      <c r="B224" s="5">
        <v>119.51</v>
      </c>
      <c r="C224" s="5">
        <v>167.71</v>
      </c>
      <c r="D224" s="5">
        <v>305.35000000000002</v>
      </c>
      <c r="E224" s="5">
        <v>364.42</v>
      </c>
      <c r="F224" s="5">
        <v>371.91</v>
      </c>
      <c r="G224" s="5">
        <v>455.27</v>
      </c>
      <c r="H224" s="5">
        <v>485.06</v>
      </c>
      <c r="I224" s="5">
        <v>540.71</v>
      </c>
      <c r="J224" s="5">
        <v>540.71</v>
      </c>
      <c r="K224" s="5">
        <v>552.46</v>
      </c>
      <c r="L224" s="5">
        <v>552.46</v>
      </c>
      <c r="M224" s="5">
        <v>350.55</v>
      </c>
      <c r="N224" s="5">
        <v>350.55</v>
      </c>
      <c r="O224" s="5">
        <v>350.55</v>
      </c>
      <c r="P224" s="5">
        <v>350.55</v>
      </c>
    </row>
    <row r="225" spans="1:16" ht="15" customHeight="1" x14ac:dyDescent="0.35">
      <c r="A225" s="1">
        <v>150</v>
      </c>
      <c r="B225" s="5">
        <v>120.31</v>
      </c>
      <c r="C225" s="5">
        <v>168.84</v>
      </c>
      <c r="D225" s="5">
        <v>307.39999999999998</v>
      </c>
      <c r="E225" s="5">
        <v>366.87</v>
      </c>
      <c r="F225" s="5">
        <v>374.41</v>
      </c>
      <c r="G225" s="5">
        <v>458.32</v>
      </c>
      <c r="H225" s="5">
        <v>488.32</v>
      </c>
      <c r="I225" s="5">
        <v>544.33000000000004</v>
      </c>
      <c r="J225" s="5">
        <v>544.33000000000004</v>
      </c>
      <c r="K225" s="5">
        <v>556.16999999999996</v>
      </c>
      <c r="L225" s="5">
        <v>556.16999999999996</v>
      </c>
      <c r="M225" s="5">
        <v>352.9</v>
      </c>
      <c r="N225" s="5">
        <v>352.9</v>
      </c>
      <c r="O225" s="5">
        <v>352.9</v>
      </c>
      <c r="P225" s="5">
        <v>352.9</v>
      </c>
    </row>
    <row r="226" spans="1:16" ht="15" customHeight="1" x14ac:dyDescent="0.3">
      <c r="A226" s="1" t="s">
        <v>35</v>
      </c>
    </row>
    <row r="227" spans="1:16" ht="15" customHeight="1" x14ac:dyDescent="0.3">
      <c r="A227" s="1" t="s">
        <v>0</v>
      </c>
    </row>
    <row r="228" spans="1:16" ht="15" customHeight="1" x14ac:dyDescent="0.3">
      <c r="A228" s="1" t="s">
        <v>0</v>
      </c>
    </row>
    <row r="229" spans="1:16" ht="15" customHeight="1" x14ac:dyDescent="0.3">
      <c r="A229" s="1" t="s">
        <v>24</v>
      </c>
      <c r="B229" s="7" t="s">
        <v>25</v>
      </c>
      <c r="C229" s="7"/>
      <c r="D229" s="7"/>
      <c r="E229" s="7"/>
    </row>
    <row r="230" spans="1:16" ht="15" customHeight="1" x14ac:dyDescent="0.3">
      <c r="A230" s="1" t="s">
        <v>36</v>
      </c>
    </row>
    <row r="231" spans="1:16" ht="15" customHeight="1" x14ac:dyDescent="0.3">
      <c r="A231" s="1" t="s">
        <v>0</v>
      </c>
    </row>
    <row r="232" spans="1:16" ht="15" customHeight="1" x14ac:dyDescent="0.3">
      <c r="A232" s="1" t="s">
        <v>32</v>
      </c>
      <c r="B232" s="1" t="s">
        <v>33</v>
      </c>
    </row>
    <row r="233" spans="1:16" ht="15" customHeight="1" x14ac:dyDescent="0.35">
      <c r="A233" s="1" t="s">
        <v>34</v>
      </c>
      <c r="B233" s="2">
        <v>2</v>
      </c>
      <c r="C233" s="2">
        <v>3</v>
      </c>
      <c r="D233" s="2">
        <v>4</v>
      </c>
      <c r="E233" s="2">
        <v>5</v>
      </c>
      <c r="F233" s="2">
        <v>6</v>
      </c>
      <c r="G233" s="2">
        <v>7</v>
      </c>
      <c r="H233" s="2">
        <v>8</v>
      </c>
      <c r="I233" s="2">
        <v>9</v>
      </c>
      <c r="J233" s="2">
        <v>10</v>
      </c>
      <c r="K233" s="2">
        <v>11</v>
      </c>
      <c r="L233" s="2">
        <v>12</v>
      </c>
      <c r="M233" s="2">
        <v>13</v>
      </c>
      <c r="N233" s="2">
        <v>14</v>
      </c>
      <c r="O233" s="2">
        <v>15</v>
      </c>
      <c r="P233" s="2">
        <v>16</v>
      </c>
    </row>
    <row r="234" spans="1:16" ht="15" customHeight="1" x14ac:dyDescent="0.35">
      <c r="A234" s="1" t="s">
        <v>37</v>
      </c>
      <c r="B234" s="5">
        <v>0.8</v>
      </c>
      <c r="C234" s="5">
        <v>1.1299999999999999</v>
      </c>
      <c r="D234" s="5">
        <v>2.0499999999999998</v>
      </c>
      <c r="E234" s="5">
        <v>2.4500000000000002</v>
      </c>
      <c r="F234" s="5">
        <v>2.5</v>
      </c>
      <c r="G234" s="5">
        <v>3.06</v>
      </c>
      <c r="H234" s="5">
        <v>3.26</v>
      </c>
      <c r="I234" s="5">
        <v>3.63</v>
      </c>
      <c r="J234" s="5">
        <v>3.63</v>
      </c>
      <c r="K234" s="5">
        <v>3.71</v>
      </c>
      <c r="L234" s="5">
        <v>3.71</v>
      </c>
      <c r="M234" s="5">
        <v>2.35</v>
      </c>
      <c r="N234" s="5">
        <v>2.35</v>
      </c>
      <c r="O234" s="5">
        <v>2.35</v>
      </c>
      <c r="P234" s="5">
        <v>2.35</v>
      </c>
    </row>
    <row r="235" spans="1:16" ht="15" customHeight="1" x14ac:dyDescent="0.35">
      <c r="A235" s="1" t="s">
        <v>38</v>
      </c>
      <c r="B235" s="5">
        <v>0.8</v>
      </c>
      <c r="C235" s="5">
        <v>1.1299999999999999</v>
      </c>
      <c r="D235" s="5">
        <v>2.0499999999999998</v>
      </c>
      <c r="E235" s="5">
        <v>2.4500000000000002</v>
      </c>
      <c r="F235" s="5">
        <v>2.5</v>
      </c>
      <c r="G235" s="5">
        <v>3.06</v>
      </c>
      <c r="H235" s="5">
        <v>3.26</v>
      </c>
      <c r="I235" s="5">
        <v>3.63</v>
      </c>
      <c r="J235" s="5">
        <v>3.63</v>
      </c>
      <c r="K235" s="5">
        <v>3.71</v>
      </c>
      <c r="L235" s="5">
        <v>3.71</v>
      </c>
      <c r="M235" s="5">
        <v>2.35</v>
      </c>
      <c r="N235" s="5">
        <v>2.35</v>
      </c>
      <c r="O235" s="5">
        <v>2.35</v>
      </c>
      <c r="P235" s="5">
        <v>2.35</v>
      </c>
    </row>
    <row r="236" spans="1:16" ht="15" customHeight="1" x14ac:dyDescent="0.35">
      <c r="A236" s="1" t="s">
        <v>39</v>
      </c>
      <c r="B236" s="5">
        <v>0.8</v>
      </c>
      <c r="C236" s="5">
        <v>1.1299999999999999</v>
      </c>
      <c r="D236" s="5">
        <v>2.0499999999999998</v>
      </c>
      <c r="E236" s="5">
        <v>2.4500000000000002</v>
      </c>
      <c r="F236" s="5">
        <v>2.5</v>
      </c>
      <c r="G236" s="5">
        <v>3.06</v>
      </c>
      <c r="H236" s="5">
        <v>3.26</v>
      </c>
      <c r="I236" s="5">
        <v>3.63</v>
      </c>
      <c r="J236" s="5">
        <v>3.63</v>
      </c>
      <c r="K236" s="5">
        <v>3.71</v>
      </c>
      <c r="L236" s="5">
        <v>3.71</v>
      </c>
      <c r="M236" s="5">
        <v>2.35</v>
      </c>
      <c r="N236" s="5">
        <v>2.35</v>
      </c>
      <c r="O236" s="5">
        <v>2.35</v>
      </c>
      <c r="P236" s="5">
        <v>2.35</v>
      </c>
    </row>
    <row r="237" spans="1:16" ht="15" customHeight="1" x14ac:dyDescent="0.35">
      <c r="A237" s="1" t="s">
        <v>40</v>
      </c>
      <c r="B237" s="5">
        <v>0.8</v>
      </c>
      <c r="C237" s="5">
        <v>1.1200000000000001</v>
      </c>
      <c r="D237" s="5">
        <v>2.04</v>
      </c>
      <c r="E237" s="5">
        <v>2.44</v>
      </c>
      <c r="F237" s="5">
        <v>2.4900000000000002</v>
      </c>
      <c r="G237" s="5">
        <v>3.05</v>
      </c>
      <c r="H237" s="5">
        <v>3.25</v>
      </c>
      <c r="I237" s="5">
        <v>3.63</v>
      </c>
      <c r="J237" s="5">
        <v>3.63</v>
      </c>
      <c r="K237" s="5">
        <v>3.7</v>
      </c>
      <c r="L237" s="5">
        <v>3.7</v>
      </c>
      <c r="M237" s="5">
        <v>2.34</v>
      </c>
      <c r="N237" s="5">
        <v>2.34</v>
      </c>
      <c r="O237" s="5">
        <v>2.34</v>
      </c>
      <c r="P237" s="5">
        <v>2.34</v>
      </c>
    </row>
    <row r="238" spans="1:16" ht="15" customHeight="1" x14ac:dyDescent="0.35">
      <c r="A238" s="1" t="s">
        <v>41</v>
      </c>
      <c r="B238" s="5">
        <v>0.8</v>
      </c>
      <c r="C238" s="5">
        <v>1.1200000000000001</v>
      </c>
      <c r="D238" s="5">
        <v>2.04</v>
      </c>
      <c r="E238" s="5">
        <v>2.4300000000000002</v>
      </c>
      <c r="F238" s="5">
        <v>2.48</v>
      </c>
      <c r="G238" s="5">
        <v>3.05</v>
      </c>
      <c r="H238" s="5">
        <v>3.24</v>
      </c>
      <c r="I238" s="5">
        <v>3.62</v>
      </c>
      <c r="J238" s="5">
        <v>3.62</v>
      </c>
      <c r="K238" s="5">
        <v>3.69</v>
      </c>
      <c r="L238" s="5">
        <v>3.69</v>
      </c>
      <c r="M238" s="5">
        <v>2.35</v>
      </c>
      <c r="N238" s="5">
        <v>2.35</v>
      </c>
      <c r="O238" s="5">
        <v>2.35</v>
      </c>
      <c r="P238" s="5">
        <v>2.35</v>
      </c>
    </row>
    <row r="239" spans="1:16" ht="15" customHeight="1" x14ac:dyDescent="0.35">
      <c r="A239" s="1" t="s">
        <v>42</v>
      </c>
      <c r="B239" s="5">
        <v>0.79</v>
      </c>
      <c r="C239" s="5">
        <v>1.1100000000000001</v>
      </c>
      <c r="D239" s="5">
        <v>2.0299999999999998</v>
      </c>
      <c r="E239" s="5">
        <v>2.4300000000000002</v>
      </c>
      <c r="F239" s="5">
        <v>2.48</v>
      </c>
      <c r="G239" s="5">
        <v>3.04</v>
      </c>
      <c r="H239" s="5">
        <v>3.23</v>
      </c>
      <c r="I239" s="5">
        <v>3.62</v>
      </c>
      <c r="J239" s="5">
        <v>3.62</v>
      </c>
      <c r="K239" s="5">
        <v>3.7</v>
      </c>
      <c r="L239" s="5">
        <v>3.7</v>
      </c>
      <c r="M239" s="5">
        <v>2.34</v>
      </c>
      <c r="N239" s="5">
        <v>2.34</v>
      </c>
      <c r="O239" s="5">
        <v>2.34</v>
      </c>
      <c r="P239" s="5">
        <v>2.34</v>
      </c>
    </row>
    <row r="241" spans="1:11" ht="15" customHeight="1" x14ac:dyDescent="0.3">
      <c r="A241" s="1" t="s">
        <v>35</v>
      </c>
    </row>
    <row r="244" spans="1:11" ht="15" customHeight="1" x14ac:dyDescent="0.3">
      <c r="A244" s="7" t="s">
        <v>0</v>
      </c>
      <c r="B244" s="7"/>
      <c r="C244" s="7"/>
      <c r="D244" s="7"/>
      <c r="E244" s="7"/>
    </row>
    <row r="245" spans="1:11" ht="15" customHeight="1" x14ac:dyDescent="0.35">
      <c r="A245" s="8" t="s">
        <v>43</v>
      </c>
      <c r="B245" s="8"/>
      <c r="C245" s="8"/>
      <c r="D245" s="8"/>
      <c r="E245" s="8"/>
      <c r="F245" s="8"/>
      <c r="G245" s="8"/>
      <c r="H245" s="7" t="s">
        <v>25</v>
      </c>
      <c r="I245" s="7"/>
      <c r="J245" s="7"/>
      <c r="K245" s="7"/>
    </row>
    <row r="249" spans="1:11" ht="15" customHeight="1" x14ac:dyDescent="0.3">
      <c r="A249" s="1" t="s">
        <v>26</v>
      </c>
    </row>
    <row r="250" spans="1:11" ht="15" customHeight="1" x14ac:dyDescent="0.3">
      <c r="A250" s="1" t="s">
        <v>0</v>
      </c>
    </row>
    <row r="251" spans="1:11" ht="15" customHeight="1" x14ac:dyDescent="0.3">
      <c r="A251" s="1" t="s">
        <v>0</v>
      </c>
    </row>
    <row r="252" spans="1:11" ht="15" customHeight="1" x14ac:dyDescent="0.3">
      <c r="A252" s="1" t="s">
        <v>27</v>
      </c>
      <c r="B252" s="1" t="s">
        <v>28</v>
      </c>
    </row>
    <row r="253" spans="1:11" ht="15" customHeight="1" x14ac:dyDescent="0.35">
      <c r="A253" s="1" t="s">
        <v>29</v>
      </c>
      <c r="B253" s="3">
        <v>0.11</v>
      </c>
    </row>
    <row r="254" spans="1:11" ht="15" customHeight="1" x14ac:dyDescent="0.35">
      <c r="A254" s="1" t="s">
        <v>30</v>
      </c>
      <c r="B254" s="3">
        <v>0.11</v>
      </c>
    </row>
    <row r="255" spans="1:11" ht="15" customHeight="1" x14ac:dyDescent="0.35">
      <c r="A255" s="1" t="s">
        <v>31</v>
      </c>
      <c r="B255" s="3">
        <v>0.11</v>
      </c>
    </row>
    <row r="257" spans="1:13" ht="15" customHeight="1" x14ac:dyDescent="0.35">
      <c r="A257" s="2" t="s">
        <v>32</v>
      </c>
      <c r="B257" s="8" t="s">
        <v>33</v>
      </c>
      <c r="C257" s="8"/>
    </row>
    <row r="258" spans="1:13" ht="15" customHeight="1" x14ac:dyDescent="0.35">
      <c r="A258" s="2" t="s">
        <v>34</v>
      </c>
      <c r="B258" s="2">
        <v>2</v>
      </c>
      <c r="C258" s="2">
        <v>3</v>
      </c>
      <c r="D258" s="2">
        <v>4</v>
      </c>
      <c r="E258" s="2">
        <v>5</v>
      </c>
      <c r="F258" s="2">
        <v>6</v>
      </c>
      <c r="G258" s="2">
        <v>7</v>
      </c>
      <c r="H258" s="2">
        <v>8</v>
      </c>
      <c r="I258" s="2">
        <v>9</v>
      </c>
      <c r="J258" s="2">
        <v>13</v>
      </c>
      <c r="K258" s="2">
        <v>14</v>
      </c>
      <c r="L258" s="2">
        <v>15</v>
      </c>
      <c r="M258" s="2">
        <v>16</v>
      </c>
    </row>
    <row r="259" spans="1:13" ht="15" customHeight="1" x14ac:dyDescent="0.3">
      <c r="A259" s="1" t="s">
        <v>29</v>
      </c>
    </row>
    <row r="260" spans="1:13" ht="15" customHeight="1" x14ac:dyDescent="0.35">
      <c r="A260" s="1" t="s">
        <v>0</v>
      </c>
      <c r="B260" s="4">
        <v>17.010000000000002</v>
      </c>
      <c r="C260" s="4">
        <v>17.010000000000002</v>
      </c>
      <c r="D260" s="4">
        <v>17.010000000000002</v>
      </c>
      <c r="E260" s="4">
        <v>17.010000000000002</v>
      </c>
      <c r="F260" s="4">
        <v>17.010000000000002</v>
      </c>
      <c r="G260" s="5">
        <v>18.5</v>
      </c>
      <c r="H260" s="5">
        <v>19.350000000000001</v>
      </c>
      <c r="I260" s="5">
        <v>22.19</v>
      </c>
      <c r="J260" s="4">
        <v>17.010000000000002</v>
      </c>
      <c r="K260" s="4">
        <v>17.010000000000002</v>
      </c>
      <c r="L260" s="4">
        <v>17.010000000000002</v>
      </c>
      <c r="M260" s="4">
        <v>17.010000000000002</v>
      </c>
    </row>
    <row r="261" spans="1:13" ht="15" customHeight="1" x14ac:dyDescent="0.3">
      <c r="A261" s="1" t="s">
        <v>31</v>
      </c>
    </row>
    <row r="262" spans="1:13" ht="15" customHeight="1" x14ac:dyDescent="0.35">
      <c r="A262" s="1">
        <v>1</v>
      </c>
      <c r="B262" s="4">
        <v>19.86</v>
      </c>
      <c r="C262" s="4">
        <v>19.86</v>
      </c>
      <c r="D262" s="5">
        <v>21.63</v>
      </c>
      <c r="E262" s="5">
        <v>23.96</v>
      </c>
      <c r="F262" s="5">
        <v>25.98</v>
      </c>
      <c r="G262" s="5">
        <v>28.23</v>
      </c>
      <c r="H262" s="5">
        <v>29.48</v>
      </c>
      <c r="I262" s="5">
        <v>31.28</v>
      </c>
      <c r="J262" s="4">
        <v>19.86</v>
      </c>
      <c r="K262" s="4">
        <v>19.86</v>
      </c>
      <c r="L262" s="4">
        <v>19.86</v>
      </c>
      <c r="M262" s="4">
        <v>19.86</v>
      </c>
    </row>
    <row r="263" spans="1:13" ht="15" customHeight="1" x14ac:dyDescent="0.35">
      <c r="A263" s="1">
        <v>2</v>
      </c>
      <c r="B263" s="4">
        <v>19.86</v>
      </c>
      <c r="C263" s="4">
        <v>19.86</v>
      </c>
      <c r="D263" s="5">
        <v>24.88</v>
      </c>
      <c r="E263" s="5">
        <v>27.03</v>
      </c>
      <c r="F263" s="5">
        <v>29.8</v>
      </c>
      <c r="G263" s="5">
        <v>32.340000000000003</v>
      </c>
      <c r="H263" s="5">
        <v>34.18</v>
      </c>
      <c r="I263" s="5">
        <v>36.53</v>
      </c>
      <c r="J263" s="4">
        <v>19.86</v>
      </c>
      <c r="K263" s="4">
        <v>19.86</v>
      </c>
      <c r="L263" s="4">
        <v>19.86</v>
      </c>
      <c r="M263" s="4">
        <v>19.86</v>
      </c>
    </row>
    <row r="264" spans="1:13" ht="15" customHeight="1" x14ac:dyDescent="0.3">
      <c r="A264" s="1" t="s">
        <v>30</v>
      </c>
    </row>
    <row r="265" spans="1:13" ht="15" customHeight="1" x14ac:dyDescent="0.35">
      <c r="A265" s="1">
        <v>1</v>
      </c>
      <c r="B265" s="4">
        <v>19.86</v>
      </c>
      <c r="C265" s="4">
        <v>19.86</v>
      </c>
      <c r="D265" s="5">
        <v>21.63</v>
      </c>
      <c r="E265" s="5">
        <v>23.96</v>
      </c>
      <c r="F265" s="5">
        <v>25.98</v>
      </c>
      <c r="G265" s="5">
        <v>28.23</v>
      </c>
      <c r="H265" s="5">
        <v>29.48</v>
      </c>
      <c r="I265" s="5">
        <v>31.28</v>
      </c>
      <c r="J265" s="4">
        <v>19.86</v>
      </c>
      <c r="K265" s="4">
        <v>19.86</v>
      </c>
      <c r="L265" s="4">
        <v>19.86</v>
      </c>
      <c r="M265" s="4">
        <v>19.86</v>
      </c>
    </row>
    <row r="266" spans="1:13" ht="15" customHeight="1" x14ac:dyDescent="0.35">
      <c r="A266" s="1">
        <v>2</v>
      </c>
      <c r="B266" s="4">
        <v>19.86</v>
      </c>
      <c r="C266" s="4">
        <v>19.86</v>
      </c>
      <c r="D266" s="5">
        <v>24.88</v>
      </c>
      <c r="E266" s="5">
        <v>27.03</v>
      </c>
      <c r="F266" s="5">
        <v>29.8</v>
      </c>
      <c r="G266" s="5">
        <v>32.340000000000003</v>
      </c>
      <c r="H266" s="5">
        <v>34.18</v>
      </c>
      <c r="I266" s="5">
        <v>36.53</v>
      </c>
      <c r="J266" s="4">
        <v>19.86</v>
      </c>
      <c r="K266" s="4">
        <v>19.86</v>
      </c>
      <c r="L266" s="4">
        <v>19.86</v>
      </c>
      <c r="M266" s="4">
        <v>19.86</v>
      </c>
    </row>
    <row r="267" spans="1:13" ht="15" customHeight="1" x14ac:dyDescent="0.35">
      <c r="A267" s="1">
        <v>3</v>
      </c>
      <c r="B267" s="4">
        <v>19.86</v>
      </c>
      <c r="C267" s="4">
        <v>19.86</v>
      </c>
      <c r="D267" s="5">
        <v>27.59</v>
      </c>
      <c r="E267" s="5">
        <v>29.95</v>
      </c>
      <c r="F267" s="5">
        <v>31.96</v>
      </c>
      <c r="G267" s="5">
        <v>35.25</v>
      </c>
      <c r="H267" s="5">
        <v>37.369999999999997</v>
      </c>
      <c r="I267" s="5">
        <v>39.590000000000003</v>
      </c>
      <c r="J267" s="4">
        <v>19.86</v>
      </c>
      <c r="K267" s="4">
        <v>19.86</v>
      </c>
      <c r="L267" s="4">
        <v>19.86</v>
      </c>
      <c r="M267" s="4">
        <v>19.86</v>
      </c>
    </row>
    <row r="268" spans="1:13" ht="15" customHeight="1" x14ac:dyDescent="0.35">
      <c r="A268" s="1">
        <v>4</v>
      </c>
      <c r="B268" s="4">
        <v>19.86</v>
      </c>
      <c r="C268" s="4">
        <v>19.86</v>
      </c>
      <c r="D268" s="5">
        <v>29.62</v>
      </c>
      <c r="E268" s="5">
        <v>32.520000000000003</v>
      </c>
      <c r="F268" s="5">
        <v>35.880000000000003</v>
      </c>
      <c r="G268" s="5">
        <v>38.36</v>
      </c>
      <c r="H268" s="5">
        <v>40.909999999999997</v>
      </c>
      <c r="I268" s="5">
        <v>43.53</v>
      </c>
      <c r="J268" s="5">
        <v>24.45</v>
      </c>
      <c r="K268" s="5">
        <v>24.45</v>
      </c>
      <c r="L268" s="5">
        <v>24.45</v>
      </c>
      <c r="M268" s="5">
        <v>24.45</v>
      </c>
    </row>
    <row r="269" spans="1:13" ht="15" customHeight="1" x14ac:dyDescent="0.35">
      <c r="A269" s="1">
        <v>5</v>
      </c>
      <c r="B269" s="4">
        <v>19.86</v>
      </c>
      <c r="C269" s="4">
        <v>19.86</v>
      </c>
      <c r="D269" s="5">
        <v>31.8</v>
      </c>
      <c r="E269" s="5">
        <v>35.69</v>
      </c>
      <c r="F269" s="5">
        <v>37.020000000000003</v>
      </c>
      <c r="G269" s="5">
        <v>39.58</v>
      </c>
      <c r="H269" s="5">
        <v>41.81</v>
      </c>
      <c r="I269" s="5">
        <v>46.15</v>
      </c>
      <c r="J269" s="5">
        <v>24.93</v>
      </c>
      <c r="K269" s="5">
        <v>24.93</v>
      </c>
      <c r="L269" s="5">
        <v>24.93</v>
      </c>
      <c r="M269" s="5">
        <v>24.93</v>
      </c>
    </row>
    <row r="270" spans="1:13" ht="15" customHeight="1" x14ac:dyDescent="0.35">
      <c r="A270" s="1">
        <v>6</v>
      </c>
      <c r="B270" s="4">
        <v>19.86</v>
      </c>
      <c r="C270" s="5">
        <v>22.82</v>
      </c>
      <c r="D270" s="5">
        <v>35.04</v>
      </c>
      <c r="E270" s="5">
        <v>37.700000000000003</v>
      </c>
      <c r="F270" s="5">
        <v>41.86</v>
      </c>
      <c r="G270" s="5">
        <v>43.8</v>
      </c>
      <c r="H270" s="5">
        <v>46.6</v>
      </c>
      <c r="I270" s="5">
        <v>50.08</v>
      </c>
      <c r="J270" s="5">
        <v>30.18</v>
      </c>
      <c r="K270" s="5">
        <v>30.18</v>
      </c>
      <c r="L270" s="5">
        <v>30.18</v>
      </c>
      <c r="M270" s="5">
        <v>30.18</v>
      </c>
    </row>
    <row r="271" spans="1:13" ht="15" customHeight="1" x14ac:dyDescent="0.35">
      <c r="A271" s="1">
        <v>7</v>
      </c>
      <c r="B271" s="4">
        <v>19.86</v>
      </c>
      <c r="C271" s="5">
        <v>23.82</v>
      </c>
      <c r="D271" s="5">
        <v>37.5</v>
      </c>
      <c r="E271" s="5">
        <v>41.35</v>
      </c>
      <c r="F271" s="5">
        <v>44.83</v>
      </c>
      <c r="G271" s="5">
        <v>47.55</v>
      </c>
      <c r="H271" s="5">
        <v>50.27</v>
      </c>
      <c r="I271" s="5">
        <v>53.86</v>
      </c>
      <c r="J271" s="5">
        <v>31.64</v>
      </c>
      <c r="K271" s="5">
        <v>31.64</v>
      </c>
      <c r="L271" s="5">
        <v>31.64</v>
      </c>
      <c r="M271" s="5">
        <v>31.64</v>
      </c>
    </row>
    <row r="272" spans="1:13" ht="15" customHeight="1" x14ac:dyDescent="0.35">
      <c r="A272" s="1">
        <v>8</v>
      </c>
      <c r="B272" s="4">
        <v>19.86</v>
      </c>
      <c r="C272" s="5">
        <v>24.5</v>
      </c>
      <c r="D272" s="5">
        <v>39.6</v>
      </c>
      <c r="E272" s="5">
        <v>43.61</v>
      </c>
      <c r="F272" s="5">
        <v>47.85</v>
      </c>
      <c r="G272" s="5">
        <v>50.44</v>
      </c>
      <c r="H272" s="5">
        <v>52.91</v>
      </c>
      <c r="I272" s="5">
        <v>55.97</v>
      </c>
      <c r="J272" s="5">
        <v>34.450000000000003</v>
      </c>
      <c r="K272" s="5">
        <v>34.450000000000003</v>
      </c>
      <c r="L272" s="5">
        <v>34.450000000000003</v>
      </c>
      <c r="M272" s="5">
        <v>34.450000000000003</v>
      </c>
    </row>
    <row r="273" spans="1:13" ht="15" customHeight="1" x14ac:dyDescent="0.35">
      <c r="A273" s="1">
        <v>9</v>
      </c>
      <c r="B273" s="4">
        <v>19.86</v>
      </c>
      <c r="C273" s="5">
        <v>25.56</v>
      </c>
      <c r="D273" s="5">
        <v>42.61</v>
      </c>
      <c r="E273" s="5">
        <v>46.76</v>
      </c>
      <c r="F273" s="5">
        <v>48.95</v>
      </c>
      <c r="G273" s="5">
        <v>54.09</v>
      </c>
      <c r="H273" s="5">
        <v>56.85</v>
      </c>
      <c r="I273" s="5">
        <v>59.9</v>
      </c>
      <c r="J273" s="5">
        <v>36.43</v>
      </c>
      <c r="K273" s="5">
        <v>36.43</v>
      </c>
      <c r="L273" s="5">
        <v>36.43</v>
      </c>
      <c r="M273" s="5">
        <v>36.43</v>
      </c>
    </row>
    <row r="274" spans="1:13" ht="15" customHeight="1" x14ac:dyDescent="0.35">
      <c r="A274" s="1">
        <v>10</v>
      </c>
      <c r="B274" s="4">
        <v>19.86</v>
      </c>
      <c r="C274" s="5">
        <v>26.28</v>
      </c>
      <c r="D274" s="5">
        <v>42.97</v>
      </c>
      <c r="E274" s="5">
        <v>47.4</v>
      </c>
      <c r="F274" s="5">
        <v>49.63</v>
      </c>
      <c r="G274" s="5">
        <v>54.46</v>
      </c>
      <c r="H274" s="5">
        <v>57.34</v>
      </c>
      <c r="I274" s="5">
        <v>64.39</v>
      </c>
      <c r="J274" s="5">
        <v>40.35</v>
      </c>
      <c r="K274" s="5">
        <v>40.35</v>
      </c>
      <c r="L274" s="5">
        <v>40.35</v>
      </c>
      <c r="M274" s="5">
        <v>40.35</v>
      </c>
    </row>
    <row r="275" spans="1:13" ht="15" customHeight="1" x14ac:dyDescent="0.35">
      <c r="A275" s="1">
        <v>11</v>
      </c>
      <c r="B275" s="4">
        <v>19.86</v>
      </c>
      <c r="C275" s="5">
        <v>26.84</v>
      </c>
      <c r="D275" s="5">
        <v>45.79</v>
      </c>
      <c r="E275" s="5">
        <v>51.31</v>
      </c>
      <c r="F275" s="5">
        <v>55.54</v>
      </c>
      <c r="G275" s="5">
        <v>59.42</v>
      </c>
      <c r="H275" s="5">
        <v>61.22</v>
      </c>
      <c r="I275" s="5">
        <v>66.98</v>
      </c>
      <c r="J275" s="5">
        <v>39.43</v>
      </c>
      <c r="K275" s="5">
        <v>39.43</v>
      </c>
      <c r="L275" s="5">
        <v>39.43</v>
      </c>
      <c r="M275" s="5">
        <v>39.43</v>
      </c>
    </row>
    <row r="276" spans="1:13" ht="15" customHeight="1" x14ac:dyDescent="0.35">
      <c r="A276" s="1">
        <v>12</v>
      </c>
      <c r="B276" s="4">
        <v>19.86</v>
      </c>
      <c r="C276" s="5">
        <v>28.2</v>
      </c>
      <c r="D276" s="5">
        <v>48.32</v>
      </c>
      <c r="E276" s="5">
        <v>53.66</v>
      </c>
      <c r="F276" s="5">
        <v>58.25</v>
      </c>
      <c r="G276" s="5">
        <v>62.65</v>
      </c>
      <c r="H276" s="5">
        <v>64.48</v>
      </c>
      <c r="I276" s="5">
        <v>69.489999999999995</v>
      </c>
      <c r="J276" s="5">
        <v>42.5</v>
      </c>
      <c r="K276" s="5">
        <v>42.5</v>
      </c>
      <c r="L276" s="5">
        <v>42.5</v>
      </c>
      <c r="M276" s="5">
        <v>42.5</v>
      </c>
    </row>
    <row r="277" spans="1:13" ht="15" customHeight="1" x14ac:dyDescent="0.35">
      <c r="A277" s="1">
        <v>13</v>
      </c>
      <c r="B277" s="4">
        <v>19.86</v>
      </c>
      <c r="C277" s="5">
        <v>29.61</v>
      </c>
      <c r="D277" s="5">
        <v>51.09</v>
      </c>
      <c r="E277" s="5">
        <v>56.15</v>
      </c>
      <c r="F277" s="5">
        <v>60.62</v>
      </c>
      <c r="G277" s="5">
        <v>65.97</v>
      </c>
      <c r="H277" s="5">
        <v>67.59</v>
      </c>
      <c r="I277" s="5">
        <v>73.760000000000005</v>
      </c>
      <c r="J277" s="5">
        <v>45.53</v>
      </c>
      <c r="K277" s="5">
        <v>45.53</v>
      </c>
      <c r="L277" s="5">
        <v>45.53</v>
      </c>
      <c r="M277" s="5">
        <v>45.53</v>
      </c>
    </row>
    <row r="278" spans="1:13" ht="15" customHeight="1" x14ac:dyDescent="0.35">
      <c r="A278" s="1">
        <v>14</v>
      </c>
      <c r="B278" s="5">
        <v>20.36</v>
      </c>
      <c r="C278" s="5">
        <v>30.78</v>
      </c>
      <c r="D278" s="5">
        <v>53.7</v>
      </c>
      <c r="E278" s="5">
        <v>58.52</v>
      </c>
      <c r="F278" s="5">
        <v>62.97</v>
      </c>
      <c r="G278" s="5">
        <v>68.86</v>
      </c>
      <c r="H278" s="5">
        <v>70.95</v>
      </c>
      <c r="I278" s="5">
        <v>76.61</v>
      </c>
      <c r="J278" s="5">
        <v>45.84</v>
      </c>
      <c r="K278" s="5">
        <v>45.84</v>
      </c>
      <c r="L278" s="5">
        <v>45.84</v>
      </c>
      <c r="M278" s="5">
        <v>45.84</v>
      </c>
    </row>
    <row r="279" spans="1:13" ht="15" customHeight="1" x14ac:dyDescent="0.35">
      <c r="A279" s="1">
        <v>15</v>
      </c>
      <c r="B279" s="5">
        <v>21.14</v>
      </c>
      <c r="C279" s="5">
        <v>31.81</v>
      </c>
      <c r="D279" s="5">
        <v>55.09</v>
      </c>
      <c r="E279" s="5">
        <v>60.88</v>
      </c>
      <c r="F279" s="5">
        <v>64.12</v>
      </c>
      <c r="G279" s="5">
        <v>71.13</v>
      </c>
      <c r="H279" s="5">
        <v>73.31</v>
      </c>
      <c r="I279" s="5">
        <v>79.62</v>
      </c>
      <c r="J279" s="5">
        <v>48.41</v>
      </c>
      <c r="K279" s="5">
        <v>48.41</v>
      </c>
      <c r="L279" s="5">
        <v>48.41</v>
      </c>
      <c r="M279" s="5">
        <v>48.41</v>
      </c>
    </row>
    <row r="280" spans="1:13" ht="15" customHeight="1" x14ac:dyDescent="0.35">
      <c r="A280" s="1">
        <v>16</v>
      </c>
      <c r="B280" s="5">
        <v>21.59</v>
      </c>
      <c r="C280" s="5">
        <v>32.14</v>
      </c>
      <c r="D280" s="5">
        <v>57.68</v>
      </c>
      <c r="E280" s="5">
        <v>62.54</v>
      </c>
      <c r="F280" s="5">
        <v>67.47</v>
      </c>
      <c r="G280" s="5">
        <v>72.290000000000006</v>
      </c>
      <c r="H280" s="5">
        <v>75.47</v>
      </c>
      <c r="I280" s="5">
        <v>81.63</v>
      </c>
      <c r="J280" s="5">
        <v>48.68</v>
      </c>
      <c r="K280" s="5">
        <v>48.68</v>
      </c>
      <c r="L280" s="5">
        <v>48.68</v>
      </c>
      <c r="M280" s="5">
        <v>48.68</v>
      </c>
    </row>
    <row r="281" spans="1:13" ht="15" customHeight="1" x14ac:dyDescent="0.35">
      <c r="A281" s="1">
        <v>17</v>
      </c>
      <c r="B281" s="5">
        <v>22.05</v>
      </c>
      <c r="C281" s="5">
        <v>33.200000000000003</v>
      </c>
      <c r="D281" s="5">
        <v>59.88</v>
      </c>
      <c r="E281" s="5">
        <v>65.16</v>
      </c>
      <c r="F281" s="5">
        <v>69.03</v>
      </c>
      <c r="G281" s="5">
        <v>73.94</v>
      </c>
      <c r="H281" s="5">
        <v>77.09</v>
      </c>
      <c r="I281" s="5">
        <v>83.48</v>
      </c>
      <c r="J281" s="5">
        <v>48.76</v>
      </c>
      <c r="K281" s="5">
        <v>48.76</v>
      </c>
      <c r="L281" s="5">
        <v>48.76</v>
      </c>
      <c r="M281" s="5">
        <v>48.76</v>
      </c>
    </row>
    <row r="282" spans="1:13" ht="15" customHeight="1" x14ac:dyDescent="0.35">
      <c r="A282" s="1">
        <v>18</v>
      </c>
      <c r="B282" s="5">
        <v>23.36</v>
      </c>
      <c r="C282" s="5">
        <v>33.57</v>
      </c>
      <c r="D282" s="5">
        <v>61.68</v>
      </c>
      <c r="E282" s="5">
        <v>66.52</v>
      </c>
      <c r="F282" s="5">
        <v>70.55</v>
      </c>
      <c r="G282" s="5">
        <v>75.52</v>
      </c>
      <c r="H282" s="5">
        <v>78.400000000000006</v>
      </c>
      <c r="I282" s="5">
        <v>85.49</v>
      </c>
      <c r="J282" s="5">
        <v>48.85</v>
      </c>
      <c r="K282" s="5">
        <v>48.85</v>
      </c>
      <c r="L282" s="5">
        <v>48.85</v>
      </c>
      <c r="M282" s="5">
        <v>48.85</v>
      </c>
    </row>
    <row r="283" spans="1:13" ht="15" customHeight="1" x14ac:dyDescent="0.35">
      <c r="A283" s="1">
        <v>19</v>
      </c>
      <c r="B283" s="5">
        <v>23.99</v>
      </c>
      <c r="C283" s="5">
        <v>34.99</v>
      </c>
      <c r="D283" s="5">
        <v>63.15</v>
      </c>
      <c r="E283" s="5">
        <v>67.92</v>
      </c>
      <c r="F283" s="5">
        <v>72.150000000000006</v>
      </c>
      <c r="G283" s="5">
        <v>77.22</v>
      </c>
      <c r="H283" s="5">
        <v>81.180000000000007</v>
      </c>
      <c r="I283" s="5">
        <v>88.59</v>
      </c>
      <c r="J283" s="5">
        <v>49.36</v>
      </c>
      <c r="K283" s="5">
        <v>49.36</v>
      </c>
      <c r="L283" s="5">
        <v>49.36</v>
      </c>
      <c r="M283" s="5">
        <v>49.36</v>
      </c>
    </row>
    <row r="284" spans="1:13" ht="15" customHeight="1" x14ac:dyDescent="0.35">
      <c r="A284" s="1">
        <v>20</v>
      </c>
      <c r="B284" s="5">
        <v>24.44</v>
      </c>
      <c r="C284" s="5">
        <v>36.03</v>
      </c>
      <c r="D284" s="5">
        <v>64.77</v>
      </c>
      <c r="E284" s="5">
        <v>70.540000000000006</v>
      </c>
      <c r="F284" s="5">
        <v>72.59</v>
      </c>
      <c r="G284" s="5">
        <v>79.7</v>
      </c>
      <c r="H284" s="5">
        <v>81.52</v>
      </c>
      <c r="I284" s="5">
        <v>93.9</v>
      </c>
      <c r="J284" s="5">
        <v>51.86</v>
      </c>
      <c r="K284" s="5">
        <v>51.86</v>
      </c>
      <c r="L284" s="5">
        <v>51.86</v>
      </c>
      <c r="M284" s="5">
        <v>51.86</v>
      </c>
    </row>
    <row r="285" spans="1:13" ht="15" customHeight="1" x14ac:dyDescent="0.35">
      <c r="A285" s="1">
        <v>21</v>
      </c>
      <c r="B285" s="5">
        <v>23.41</v>
      </c>
      <c r="C285" s="5">
        <v>34.270000000000003</v>
      </c>
      <c r="D285" s="5">
        <v>64.14</v>
      </c>
      <c r="E285" s="5">
        <v>67.98</v>
      </c>
      <c r="F285" s="5">
        <v>72.91</v>
      </c>
      <c r="G285" s="5">
        <v>77.11</v>
      </c>
      <c r="H285" s="5">
        <v>81.400000000000006</v>
      </c>
      <c r="I285" s="5">
        <v>88.36</v>
      </c>
      <c r="J285" s="5">
        <v>49.25</v>
      </c>
      <c r="K285" s="5">
        <v>49.25</v>
      </c>
      <c r="L285" s="5">
        <v>49.25</v>
      </c>
      <c r="M285" s="5">
        <v>49.25</v>
      </c>
    </row>
    <row r="286" spans="1:13" ht="15" customHeight="1" x14ac:dyDescent="0.35">
      <c r="A286" s="1">
        <v>22</v>
      </c>
      <c r="B286" s="5">
        <v>24.24</v>
      </c>
      <c r="C286" s="5">
        <v>35</v>
      </c>
      <c r="D286" s="5">
        <v>65.8</v>
      </c>
      <c r="E286" s="5">
        <v>71.58</v>
      </c>
      <c r="F286" s="5">
        <v>73.430000000000007</v>
      </c>
      <c r="G286" s="5">
        <v>82.63</v>
      </c>
      <c r="H286" s="5">
        <v>84.85</v>
      </c>
      <c r="I286" s="5">
        <v>88.45</v>
      </c>
      <c r="J286" s="5">
        <v>51.74</v>
      </c>
      <c r="K286" s="5">
        <v>51.74</v>
      </c>
      <c r="L286" s="5">
        <v>51.74</v>
      </c>
      <c r="M286" s="5">
        <v>51.74</v>
      </c>
    </row>
    <row r="287" spans="1:13" ht="15" customHeight="1" x14ac:dyDescent="0.35">
      <c r="A287" s="1">
        <v>23</v>
      </c>
      <c r="B287" s="5">
        <v>24.65</v>
      </c>
      <c r="C287" s="5">
        <v>35.67</v>
      </c>
      <c r="D287" s="5">
        <v>67.58</v>
      </c>
      <c r="E287" s="5">
        <v>74.010000000000005</v>
      </c>
      <c r="F287" s="5">
        <v>76.31</v>
      </c>
      <c r="G287" s="5">
        <v>83.52</v>
      </c>
      <c r="H287" s="5">
        <v>85.19</v>
      </c>
      <c r="I287" s="5">
        <v>88.56</v>
      </c>
      <c r="J287" s="5">
        <v>52</v>
      </c>
      <c r="K287" s="5">
        <v>52</v>
      </c>
      <c r="L287" s="5">
        <v>52</v>
      </c>
      <c r="M287" s="5">
        <v>52</v>
      </c>
    </row>
    <row r="288" spans="1:13" ht="15" customHeight="1" x14ac:dyDescent="0.35">
      <c r="A288" s="1">
        <v>24</v>
      </c>
      <c r="B288" s="5">
        <v>25.26</v>
      </c>
      <c r="C288" s="5">
        <v>35.729999999999997</v>
      </c>
      <c r="D288" s="5">
        <v>67.760000000000005</v>
      </c>
      <c r="E288" s="5">
        <v>74.25</v>
      </c>
      <c r="F288" s="5">
        <v>77.02</v>
      </c>
      <c r="G288" s="5">
        <v>84.61</v>
      </c>
      <c r="H288" s="5">
        <v>87.08</v>
      </c>
      <c r="I288" s="5">
        <v>90.83</v>
      </c>
      <c r="J288" s="5">
        <v>52.37</v>
      </c>
      <c r="K288" s="5">
        <v>52.37</v>
      </c>
      <c r="L288" s="5">
        <v>52.37</v>
      </c>
      <c r="M288" s="5">
        <v>52.37</v>
      </c>
    </row>
    <row r="289" spans="1:13" ht="15" customHeight="1" x14ac:dyDescent="0.35">
      <c r="A289" s="1">
        <v>25</v>
      </c>
      <c r="B289" s="5">
        <v>25.61</v>
      </c>
      <c r="C289" s="5">
        <v>37.020000000000003</v>
      </c>
      <c r="D289" s="5">
        <v>69.17</v>
      </c>
      <c r="E289" s="5">
        <v>75.19</v>
      </c>
      <c r="F289" s="5">
        <v>78.09</v>
      </c>
      <c r="G289" s="5">
        <v>85.6</v>
      </c>
      <c r="H289" s="5">
        <v>88.24</v>
      </c>
      <c r="I289" s="5">
        <v>98.74</v>
      </c>
      <c r="J289" s="5">
        <v>53.39</v>
      </c>
      <c r="K289" s="5">
        <v>53.39</v>
      </c>
      <c r="L289" s="5">
        <v>53.39</v>
      </c>
      <c r="M289" s="5">
        <v>53.39</v>
      </c>
    </row>
    <row r="290" spans="1:13" ht="15" customHeight="1" x14ac:dyDescent="0.35">
      <c r="A290" s="1">
        <v>26</v>
      </c>
      <c r="B290" s="5">
        <v>25.68</v>
      </c>
      <c r="C290" s="5">
        <v>38.06</v>
      </c>
      <c r="D290" s="5">
        <v>73.5</v>
      </c>
      <c r="E290" s="5">
        <v>79.94</v>
      </c>
      <c r="F290" s="5">
        <v>84.71</v>
      </c>
      <c r="G290" s="5">
        <v>88.71</v>
      </c>
      <c r="H290" s="5">
        <v>92.04</v>
      </c>
      <c r="I290" s="5">
        <v>100.94</v>
      </c>
      <c r="J290" s="5">
        <v>59.3</v>
      </c>
      <c r="K290" s="5">
        <v>59.3</v>
      </c>
      <c r="L290" s="5">
        <v>59.3</v>
      </c>
      <c r="M290" s="5">
        <v>59.3</v>
      </c>
    </row>
    <row r="291" spans="1:13" ht="15" customHeight="1" x14ac:dyDescent="0.35">
      <c r="A291" s="1">
        <v>27</v>
      </c>
      <c r="B291" s="5">
        <v>26.85</v>
      </c>
      <c r="C291" s="5">
        <v>39.11</v>
      </c>
      <c r="D291" s="5">
        <v>74.73</v>
      </c>
      <c r="E291" s="5">
        <v>80.540000000000006</v>
      </c>
      <c r="F291" s="5">
        <v>85.68</v>
      </c>
      <c r="G291" s="5">
        <v>90.15</v>
      </c>
      <c r="H291" s="5">
        <v>96.39</v>
      </c>
      <c r="I291" s="5">
        <v>103.19</v>
      </c>
      <c r="J291" s="5">
        <v>59.9</v>
      </c>
      <c r="K291" s="5">
        <v>59.9</v>
      </c>
      <c r="L291" s="5">
        <v>59.9</v>
      </c>
      <c r="M291" s="5">
        <v>59.9</v>
      </c>
    </row>
    <row r="292" spans="1:13" ht="15" customHeight="1" x14ac:dyDescent="0.35">
      <c r="A292" s="1">
        <v>28</v>
      </c>
      <c r="B292" s="5">
        <v>26.97</v>
      </c>
      <c r="C292" s="5">
        <v>40.130000000000003</v>
      </c>
      <c r="D292" s="5">
        <v>76.89</v>
      </c>
      <c r="E292" s="5">
        <v>82.85</v>
      </c>
      <c r="F292" s="5">
        <v>86.31</v>
      </c>
      <c r="G292" s="5">
        <v>92.28</v>
      </c>
      <c r="H292" s="5">
        <v>98.92</v>
      </c>
      <c r="I292" s="5">
        <v>106</v>
      </c>
      <c r="J292" s="5">
        <v>60.11</v>
      </c>
      <c r="K292" s="5">
        <v>60.11</v>
      </c>
      <c r="L292" s="5">
        <v>60.11</v>
      </c>
      <c r="M292" s="5">
        <v>60.11</v>
      </c>
    </row>
    <row r="293" spans="1:13" ht="15" customHeight="1" x14ac:dyDescent="0.35">
      <c r="A293" s="1">
        <v>29</v>
      </c>
      <c r="B293" s="5">
        <v>27.49</v>
      </c>
      <c r="C293" s="5">
        <v>40.229999999999997</v>
      </c>
      <c r="D293" s="5">
        <v>78.760000000000005</v>
      </c>
      <c r="E293" s="5">
        <v>83.33</v>
      </c>
      <c r="F293" s="5">
        <v>86.39</v>
      </c>
      <c r="G293" s="5">
        <v>95.09</v>
      </c>
      <c r="H293" s="5">
        <v>99.46</v>
      </c>
      <c r="I293" s="5">
        <v>107.82</v>
      </c>
      <c r="J293" s="5">
        <v>64.099999999999994</v>
      </c>
      <c r="K293" s="5">
        <v>64.099999999999994</v>
      </c>
      <c r="L293" s="5">
        <v>64.099999999999994</v>
      </c>
      <c r="M293" s="5">
        <v>64.099999999999994</v>
      </c>
    </row>
    <row r="294" spans="1:13" ht="15" customHeight="1" x14ac:dyDescent="0.35">
      <c r="A294" s="1">
        <v>30</v>
      </c>
      <c r="B294" s="5">
        <v>28.74</v>
      </c>
      <c r="C294" s="5">
        <v>41.33</v>
      </c>
      <c r="D294" s="5">
        <v>79.7</v>
      </c>
      <c r="E294" s="5">
        <v>84.1</v>
      </c>
      <c r="F294" s="5">
        <v>87.61</v>
      </c>
      <c r="G294" s="5">
        <v>95.52</v>
      </c>
      <c r="H294" s="5">
        <v>100.6</v>
      </c>
      <c r="I294" s="5">
        <v>109.56</v>
      </c>
      <c r="J294" s="5">
        <v>65.3</v>
      </c>
      <c r="K294" s="5">
        <v>65.3</v>
      </c>
      <c r="L294" s="5">
        <v>65.3</v>
      </c>
      <c r="M294" s="5">
        <v>65.3</v>
      </c>
    </row>
    <row r="295" spans="1:13" ht="15" customHeight="1" x14ac:dyDescent="0.35">
      <c r="A295" s="1">
        <v>31</v>
      </c>
      <c r="B295" s="5">
        <v>29.28</v>
      </c>
      <c r="C295" s="5">
        <v>41.81</v>
      </c>
      <c r="D295" s="5">
        <v>82.35</v>
      </c>
      <c r="E295" s="5">
        <v>88.1</v>
      </c>
      <c r="F295" s="5">
        <v>94.48</v>
      </c>
      <c r="G295" s="5">
        <v>98.97</v>
      </c>
      <c r="H295" s="5">
        <v>103.57</v>
      </c>
      <c r="I295" s="5">
        <v>111.51</v>
      </c>
      <c r="J295" s="5">
        <v>67.72</v>
      </c>
      <c r="K295" s="5">
        <v>67.72</v>
      </c>
      <c r="L295" s="5">
        <v>67.72</v>
      </c>
      <c r="M295" s="5">
        <v>67.72</v>
      </c>
    </row>
    <row r="296" spans="1:13" ht="15" customHeight="1" x14ac:dyDescent="0.35">
      <c r="A296" s="1">
        <v>32</v>
      </c>
      <c r="B296" s="5">
        <v>29.89</v>
      </c>
      <c r="C296" s="5">
        <v>42.53</v>
      </c>
      <c r="D296" s="5">
        <v>84.14</v>
      </c>
      <c r="E296" s="5">
        <v>89.34</v>
      </c>
      <c r="F296" s="5">
        <v>96.35</v>
      </c>
      <c r="G296" s="5">
        <v>99.47</v>
      </c>
      <c r="H296" s="5">
        <v>106.33</v>
      </c>
      <c r="I296" s="5">
        <v>113.65</v>
      </c>
      <c r="J296" s="5">
        <v>68.040000000000006</v>
      </c>
      <c r="K296" s="5">
        <v>68.040000000000006</v>
      </c>
      <c r="L296" s="5">
        <v>68.040000000000006</v>
      </c>
      <c r="M296" s="5">
        <v>68.040000000000006</v>
      </c>
    </row>
    <row r="297" spans="1:13" ht="15" customHeight="1" x14ac:dyDescent="0.35">
      <c r="A297" s="1">
        <v>33</v>
      </c>
      <c r="B297" s="5">
        <v>30.54</v>
      </c>
      <c r="C297" s="5">
        <v>43.38</v>
      </c>
      <c r="D297" s="5">
        <v>86.68</v>
      </c>
      <c r="E297" s="5">
        <v>92.33</v>
      </c>
      <c r="F297" s="5">
        <v>97.24</v>
      </c>
      <c r="G297" s="5">
        <v>104.7</v>
      </c>
      <c r="H297" s="5">
        <v>109.72</v>
      </c>
      <c r="I297" s="5">
        <v>116.26</v>
      </c>
      <c r="J297" s="5">
        <v>71.08</v>
      </c>
      <c r="K297" s="5">
        <v>71.08</v>
      </c>
      <c r="L297" s="5">
        <v>71.08</v>
      </c>
      <c r="M297" s="5">
        <v>71.08</v>
      </c>
    </row>
    <row r="298" spans="1:13" ht="15" customHeight="1" x14ac:dyDescent="0.35">
      <c r="A298" s="1">
        <v>34</v>
      </c>
      <c r="B298" s="5">
        <v>31.07</v>
      </c>
      <c r="C298" s="5">
        <v>44.35</v>
      </c>
      <c r="D298" s="5">
        <v>88.64</v>
      </c>
      <c r="E298" s="5">
        <v>94.89</v>
      </c>
      <c r="F298" s="5">
        <v>98.35</v>
      </c>
      <c r="G298" s="5">
        <v>108</v>
      </c>
      <c r="H298" s="5">
        <v>111.29</v>
      </c>
      <c r="I298" s="5">
        <v>116.78</v>
      </c>
      <c r="J298" s="5">
        <v>71.39</v>
      </c>
      <c r="K298" s="5">
        <v>71.39</v>
      </c>
      <c r="L298" s="5">
        <v>71.39</v>
      </c>
      <c r="M298" s="5">
        <v>71.39</v>
      </c>
    </row>
    <row r="299" spans="1:13" ht="15" customHeight="1" x14ac:dyDescent="0.35">
      <c r="A299" s="1">
        <v>35</v>
      </c>
      <c r="B299" s="5">
        <v>31.96</v>
      </c>
      <c r="C299" s="5">
        <v>45.23</v>
      </c>
      <c r="D299" s="5">
        <v>88.84</v>
      </c>
      <c r="E299" s="5">
        <v>96.43</v>
      </c>
      <c r="F299" s="5">
        <v>98.53</v>
      </c>
      <c r="G299" s="5">
        <v>110.07</v>
      </c>
      <c r="H299" s="5">
        <v>112.37</v>
      </c>
      <c r="I299" s="5">
        <v>116.92</v>
      </c>
      <c r="J299" s="5">
        <v>71.48</v>
      </c>
      <c r="K299" s="5">
        <v>71.48</v>
      </c>
      <c r="L299" s="5">
        <v>71.48</v>
      </c>
      <c r="M299" s="5">
        <v>71.48</v>
      </c>
    </row>
    <row r="300" spans="1:13" ht="15" customHeight="1" x14ac:dyDescent="0.35">
      <c r="A300" s="1">
        <v>36</v>
      </c>
      <c r="B300" s="5">
        <v>32.15</v>
      </c>
      <c r="C300" s="5">
        <v>46.19</v>
      </c>
      <c r="D300" s="5">
        <v>92.57</v>
      </c>
      <c r="E300" s="5">
        <v>97.55</v>
      </c>
      <c r="F300" s="5">
        <v>102.17</v>
      </c>
      <c r="G300" s="5">
        <v>110.71</v>
      </c>
      <c r="H300" s="5">
        <v>113.8</v>
      </c>
      <c r="I300" s="5">
        <v>119.46</v>
      </c>
      <c r="J300" s="5">
        <v>72.27</v>
      </c>
      <c r="K300" s="5">
        <v>72.27</v>
      </c>
      <c r="L300" s="5">
        <v>72.27</v>
      </c>
      <c r="M300" s="5">
        <v>72.27</v>
      </c>
    </row>
    <row r="301" spans="1:13" ht="15" customHeight="1" x14ac:dyDescent="0.35">
      <c r="A301" s="1">
        <v>37</v>
      </c>
      <c r="B301" s="5">
        <v>32.229999999999997</v>
      </c>
      <c r="C301" s="5">
        <v>46.82</v>
      </c>
      <c r="D301" s="5">
        <v>94.85</v>
      </c>
      <c r="E301" s="5">
        <v>100.23</v>
      </c>
      <c r="F301" s="5">
        <v>107.41</v>
      </c>
      <c r="G301" s="5">
        <v>114.37</v>
      </c>
      <c r="H301" s="5">
        <v>118.87</v>
      </c>
      <c r="I301" s="5">
        <v>122.78</v>
      </c>
      <c r="J301" s="5">
        <v>73.78</v>
      </c>
      <c r="K301" s="5">
        <v>73.78</v>
      </c>
      <c r="L301" s="5">
        <v>73.78</v>
      </c>
      <c r="M301" s="5">
        <v>73.78</v>
      </c>
    </row>
    <row r="302" spans="1:13" ht="15" customHeight="1" x14ac:dyDescent="0.35">
      <c r="A302" s="1">
        <v>38</v>
      </c>
      <c r="B302" s="5">
        <v>32.799999999999997</v>
      </c>
      <c r="C302" s="5">
        <v>47.76</v>
      </c>
      <c r="D302" s="5">
        <v>96.42</v>
      </c>
      <c r="E302" s="5">
        <v>103.59</v>
      </c>
      <c r="F302" s="5">
        <v>109.22</v>
      </c>
      <c r="G302" s="5">
        <v>116.01</v>
      </c>
      <c r="H302" s="5">
        <v>119.38</v>
      </c>
      <c r="I302" s="5">
        <v>125.17</v>
      </c>
      <c r="J302" s="5">
        <v>77.41</v>
      </c>
      <c r="K302" s="5">
        <v>77.41</v>
      </c>
      <c r="L302" s="5">
        <v>77.41</v>
      </c>
      <c r="M302" s="5">
        <v>77.41</v>
      </c>
    </row>
    <row r="303" spans="1:13" ht="15" customHeight="1" x14ac:dyDescent="0.35">
      <c r="A303" s="1">
        <v>39</v>
      </c>
      <c r="B303" s="5">
        <v>33.64</v>
      </c>
      <c r="C303" s="5">
        <v>47.86</v>
      </c>
      <c r="D303" s="5">
        <v>97.26</v>
      </c>
      <c r="E303" s="5">
        <v>104.38</v>
      </c>
      <c r="F303" s="5">
        <v>109.41</v>
      </c>
      <c r="G303" s="5">
        <v>116.95</v>
      </c>
      <c r="H303" s="5">
        <v>120.44</v>
      </c>
      <c r="I303" s="5">
        <v>131.22</v>
      </c>
      <c r="J303" s="5">
        <v>80.680000000000007</v>
      </c>
      <c r="K303" s="5">
        <v>80.680000000000007</v>
      </c>
      <c r="L303" s="5">
        <v>80.680000000000007</v>
      </c>
      <c r="M303" s="5">
        <v>80.680000000000007</v>
      </c>
    </row>
    <row r="304" spans="1:13" ht="15" customHeight="1" x14ac:dyDescent="0.35">
      <c r="A304" s="1">
        <v>40</v>
      </c>
      <c r="B304" s="5">
        <v>35.159999999999997</v>
      </c>
      <c r="C304" s="5">
        <v>47.91</v>
      </c>
      <c r="D304" s="5">
        <v>97.44</v>
      </c>
      <c r="E304" s="5">
        <v>105.55</v>
      </c>
      <c r="F304" s="5">
        <v>109.73</v>
      </c>
      <c r="G304" s="5">
        <v>118.25</v>
      </c>
      <c r="H304" s="5">
        <v>120.73</v>
      </c>
      <c r="I304" s="5">
        <v>131.83000000000001</v>
      </c>
      <c r="J304" s="5">
        <v>82.35</v>
      </c>
      <c r="K304" s="5">
        <v>82.35</v>
      </c>
      <c r="L304" s="5">
        <v>82.35</v>
      </c>
      <c r="M304" s="5">
        <v>82.35</v>
      </c>
    </row>
    <row r="305" spans="1:13" ht="15" customHeight="1" x14ac:dyDescent="0.35">
      <c r="A305" s="1">
        <v>41</v>
      </c>
      <c r="B305" s="5">
        <v>35.76</v>
      </c>
      <c r="C305" s="5">
        <v>48.36</v>
      </c>
      <c r="D305" s="5">
        <v>101.01</v>
      </c>
      <c r="E305" s="5">
        <v>107.38</v>
      </c>
      <c r="F305" s="5">
        <v>114.99</v>
      </c>
      <c r="G305" s="5">
        <v>120</v>
      </c>
      <c r="H305" s="5">
        <v>126.19</v>
      </c>
      <c r="I305" s="5">
        <v>135.28</v>
      </c>
      <c r="J305" s="5">
        <v>84.03</v>
      </c>
      <c r="K305" s="5">
        <v>84.03</v>
      </c>
      <c r="L305" s="5">
        <v>84.03</v>
      </c>
      <c r="M305" s="5">
        <v>84.03</v>
      </c>
    </row>
    <row r="306" spans="1:13" ht="15" customHeight="1" x14ac:dyDescent="0.35">
      <c r="A306" s="1">
        <v>42</v>
      </c>
      <c r="B306" s="5">
        <v>36.43</v>
      </c>
      <c r="C306" s="5">
        <v>51.46</v>
      </c>
      <c r="D306" s="5">
        <v>102.38</v>
      </c>
      <c r="E306" s="5">
        <v>110.14</v>
      </c>
      <c r="F306" s="5">
        <v>116.73</v>
      </c>
      <c r="G306" s="5">
        <v>120.47</v>
      </c>
      <c r="H306" s="5">
        <v>129.1</v>
      </c>
      <c r="I306" s="5">
        <v>135.63</v>
      </c>
      <c r="J306" s="5">
        <v>86.69</v>
      </c>
      <c r="K306" s="5">
        <v>86.69</v>
      </c>
      <c r="L306" s="5">
        <v>86.69</v>
      </c>
      <c r="M306" s="5">
        <v>86.69</v>
      </c>
    </row>
    <row r="307" spans="1:13" ht="15" customHeight="1" x14ac:dyDescent="0.35">
      <c r="A307" s="1">
        <v>43</v>
      </c>
      <c r="B307" s="5">
        <v>37.03</v>
      </c>
      <c r="C307" s="5">
        <v>51.76</v>
      </c>
      <c r="D307" s="5">
        <v>105.13</v>
      </c>
      <c r="E307" s="5">
        <v>112.16</v>
      </c>
      <c r="F307" s="5">
        <v>117.83</v>
      </c>
      <c r="G307" s="5">
        <v>126.6</v>
      </c>
      <c r="H307" s="5">
        <v>134.83000000000001</v>
      </c>
      <c r="I307" s="5">
        <v>140.15</v>
      </c>
      <c r="J307" s="5">
        <v>86.96</v>
      </c>
      <c r="K307" s="5">
        <v>86.96</v>
      </c>
      <c r="L307" s="5">
        <v>86.96</v>
      </c>
      <c r="M307" s="5">
        <v>86.96</v>
      </c>
    </row>
    <row r="308" spans="1:13" ht="15" customHeight="1" x14ac:dyDescent="0.35">
      <c r="A308" s="1">
        <v>44</v>
      </c>
      <c r="B308" s="5">
        <v>37.67</v>
      </c>
      <c r="C308" s="5">
        <v>51.94</v>
      </c>
      <c r="D308" s="5">
        <v>106.98</v>
      </c>
      <c r="E308" s="5">
        <v>115.37</v>
      </c>
      <c r="F308" s="5">
        <v>121.03</v>
      </c>
      <c r="G308" s="5">
        <v>128.74</v>
      </c>
      <c r="H308" s="5">
        <v>138.47</v>
      </c>
      <c r="I308" s="5">
        <v>145.35</v>
      </c>
      <c r="J308" s="5">
        <v>88.22</v>
      </c>
      <c r="K308" s="5">
        <v>88.22</v>
      </c>
      <c r="L308" s="5">
        <v>88.22</v>
      </c>
      <c r="M308" s="5">
        <v>88.22</v>
      </c>
    </row>
    <row r="309" spans="1:13" ht="15" customHeight="1" x14ac:dyDescent="0.35">
      <c r="A309" s="1">
        <v>45</v>
      </c>
      <c r="B309" s="5">
        <v>38.28</v>
      </c>
      <c r="C309" s="5">
        <v>52.13</v>
      </c>
      <c r="D309" s="5">
        <v>109.23</v>
      </c>
      <c r="E309" s="5">
        <v>117.68</v>
      </c>
      <c r="F309" s="5">
        <v>121.34</v>
      </c>
      <c r="G309" s="5">
        <v>132.13</v>
      </c>
      <c r="H309" s="5">
        <v>138.83000000000001</v>
      </c>
      <c r="I309" s="5">
        <v>146.49</v>
      </c>
      <c r="J309" s="5">
        <v>89.6</v>
      </c>
      <c r="K309" s="5">
        <v>89.6</v>
      </c>
      <c r="L309" s="5">
        <v>89.6</v>
      </c>
      <c r="M309" s="5">
        <v>89.6</v>
      </c>
    </row>
    <row r="310" spans="1:13" ht="15" customHeight="1" x14ac:dyDescent="0.35">
      <c r="A310" s="1">
        <v>46</v>
      </c>
      <c r="B310" s="5">
        <v>38.86</v>
      </c>
      <c r="C310" s="5">
        <v>55.57</v>
      </c>
      <c r="D310" s="5">
        <v>111.07</v>
      </c>
      <c r="E310" s="5">
        <v>121.04</v>
      </c>
      <c r="F310" s="5">
        <v>125.72</v>
      </c>
      <c r="G310" s="5">
        <v>132.46</v>
      </c>
      <c r="H310" s="5">
        <v>143.06</v>
      </c>
      <c r="I310" s="5">
        <v>149.81</v>
      </c>
      <c r="J310" s="5">
        <v>89.8</v>
      </c>
      <c r="K310" s="5">
        <v>89.8</v>
      </c>
      <c r="L310" s="5">
        <v>89.8</v>
      </c>
      <c r="M310" s="5">
        <v>89.8</v>
      </c>
    </row>
    <row r="311" spans="1:13" ht="15" customHeight="1" x14ac:dyDescent="0.35">
      <c r="A311" s="1">
        <v>47</v>
      </c>
      <c r="B311" s="5">
        <v>39.69</v>
      </c>
      <c r="C311" s="5">
        <v>56.72</v>
      </c>
      <c r="D311" s="5">
        <v>111.26</v>
      </c>
      <c r="E311" s="5">
        <v>121.38</v>
      </c>
      <c r="F311" s="5">
        <v>126.34</v>
      </c>
      <c r="G311" s="5">
        <v>134.13</v>
      </c>
      <c r="H311" s="5">
        <v>143.63999999999999</v>
      </c>
      <c r="I311" s="5">
        <v>150.13999999999999</v>
      </c>
      <c r="J311" s="5">
        <v>93.85</v>
      </c>
      <c r="K311" s="5">
        <v>93.85</v>
      </c>
      <c r="L311" s="5">
        <v>93.85</v>
      </c>
      <c r="M311" s="5">
        <v>93.85</v>
      </c>
    </row>
    <row r="312" spans="1:13" ht="15" customHeight="1" x14ac:dyDescent="0.35">
      <c r="A312" s="1">
        <v>48</v>
      </c>
      <c r="B312" s="5">
        <v>40.270000000000003</v>
      </c>
      <c r="C312" s="5">
        <v>57.84</v>
      </c>
      <c r="D312" s="5">
        <v>111.34</v>
      </c>
      <c r="E312" s="5">
        <v>121.44</v>
      </c>
      <c r="F312" s="5">
        <v>126.41</v>
      </c>
      <c r="G312" s="5">
        <v>135.38</v>
      </c>
      <c r="H312" s="5">
        <v>143.69999999999999</v>
      </c>
      <c r="I312" s="5">
        <v>153.9</v>
      </c>
      <c r="J312" s="5">
        <v>94.26</v>
      </c>
      <c r="K312" s="5">
        <v>94.26</v>
      </c>
      <c r="L312" s="5">
        <v>94.26</v>
      </c>
      <c r="M312" s="5">
        <v>94.26</v>
      </c>
    </row>
    <row r="313" spans="1:13" ht="15" customHeight="1" x14ac:dyDescent="0.35">
      <c r="A313" s="1">
        <v>49</v>
      </c>
      <c r="B313" s="5">
        <v>40.880000000000003</v>
      </c>
      <c r="C313" s="5">
        <v>59</v>
      </c>
      <c r="D313" s="5">
        <v>111.41</v>
      </c>
      <c r="E313" s="5">
        <v>122.59</v>
      </c>
      <c r="F313" s="5">
        <v>126.46</v>
      </c>
      <c r="G313" s="5">
        <v>136.88999999999999</v>
      </c>
      <c r="H313" s="5">
        <v>143.79</v>
      </c>
      <c r="I313" s="5">
        <v>154.28</v>
      </c>
      <c r="J313" s="5">
        <v>94.34</v>
      </c>
      <c r="K313" s="5">
        <v>94.34</v>
      </c>
      <c r="L313" s="5">
        <v>94.34</v>
      </c>
      <c r="M313" s="5">
        <v>94.34</v>
      </c>
    </row>
    <row r="314" spans="1:13" ht="15" customHeight="1" x14ac:dyDescent="0.35">
      <c r="A314" s="1">
        <v>50</v>
      </c>
      <c r="B314" s="5">
        <v>41.69</v>
      </c>
      <c r="C314" s="5">
        <v>59.86</v>
      </c>
      <c r="D314" s="5">
        <v>111.71</v>
      </c>
      <c r="E314" s="5">
        <v>123.17</v>
      </c>
      <c r="F314" s="5">
        <v>127.02</v>
      </c>
      <c r="G314" s="5">
        <v>137.51</v>
      </c>
      <c r="H314" s="5">
        <v>145.58000000000001</v>
      </c>
      <c r="I314" s="5">
        <v>154.79</v>
      </c>
      <c r="J314" s="5">
        <v>94.64</v>
      </c>
      <c r="K314" s="5">
        <v>94.64</v>
      </c>
      <c r="L314" s="5">
        <v>94.64</v>
      </c>
      <c r="M314" s="5">
        <v>94.64</v>
      </c>
    </row>
    <row r="315" spans="1:13" ht="15" customHeight="1" x14ac:dyDescent="0.35">
      <c r="A315" s="1">
        <v>51</v>
      </c>
      <c r="B315" s="5">
        <v>42.28</v>
      </c>
      <c r="C315" s="5">
        <v>59.97</v>
      </c>
      <c r="D315" s="5">
        <v>116.63</v>
      </c>
      <c r="E315" s="5">
        <v>133.35</v>
      </c>
      <c r="F315" s="5">
        <v>138.12</v>
      </c>
      <c r="G315" s="5">
        <v>149.81</v>
      </c>
      <c r="H315" s="5">
        <v>152.81</v>
      </c>
      <c r="I315" s="5">
        <v>165.18</v>
      </c>
      <c r="J315" s="5">
        <v>95.92</v>
      </c>
      <c r="K315" s="5">
        <v>95.92</v>
      </c>
      <c r="L315" s="5">
        <v>95.92</v>
      </c>
      <c r="M315" s="5">
        <v>95.92</v>
      </c>
    </row>
    <row r="316" spans="1:13" ht="15" customHeight="1" x14ac:dyDescent="0.35">
      <c r="A316" s="1">
        <v>52</v>
      </c>
      <c r="B316" s="5">
        <v>43.13</v>
      </c>
      <c r="C316" s="5">
        <v>61.99</v>
      </c>
      <c r="D316" s="5">
        <v>126.92</v>
      </c>
      <c r="E316" s="5">
        <v>136.06</v>
      </c>
      <c r="F316" s="5">
        <v>141.36000000000001</v>
      </c>
      <c r="G316" s="5">
        <v>153.09</v>
      </c>
      <c r="H316" s="5">
        <v>163.83000000000001</v>
      </c>
      <c r="I316" s="5">
        <v>168.1</v>
      </c>
      <c r="J316" s="5">
        <v>98.85</v>
      </c>
      <c r="K316" s="5">
        <v>98.85</v>
      </c>
      <c r="L316" s="5">
        <v>98.85</v>
      </c>
      <c r="M316" s="5">
        <v>98.85</v>
      </c>
    </row>
    <row r="317" spans="1:13" ht="15" customHeight="1" x14ac:dyDescent="0.35">
      <c r="A317" s="1">
        <v>53</v>
      </c>
      <c r="B317" s="5">
        <v>43.92</v>
      </c>
      <c r="C317" s="5">
        <v>62.19</v>
      </c>
      <c r="D317" s="5">
        <v>127.96</v>
      </c>
      <c r="E317" s="5">
        <v>140.66</v>
      </c>
      <c r="F317" s="5">
        <v>143.80000000000001</v>
      </c>
      <c r="G317" s="5">
        <v>154.19999999999999</v>
      </c>
      <c r="H317" s="5">
        <v>165.15</v>
      </c>
      <c r="I317" s="5">
        <v>170.97</v>
      </c>
      <c r="J317" s="5">
        <v>99.14</v>
      </c>
      <c r="K317" s="5">
        <v>99.14</v>
      </c>
      <c r="L317" s="5">
        <v>99.14</v>
      </c>
      <c r="M317" s="5">
        <v>99.14</v>
      </c>
    </row>
    <row r="318" spans="1:13" ht="15" customHeight="1" x14ac:dyDescent="0.35">
      <c r="A318" s="1">
        <v>54</v>
      </c>
      <c r="B318" s="5">
        <v>44.49</v>
      </c>
      <c r="C318" s="5">
        <v>64.53</v>
      </c>
      <c r="D318" s="5">
        <v>130.99</v>
      </c>
      <c r="E318" s="5">
        <v>141.12</v>
      </c>
      <c r="F318" s="5">
        <v>144.05000000000001</v>
      </c>
      <c r="G318" s="5">
        <v>157.66999999999999</v>
      </c>
      <c r="H318" s="5">
        <v>165.31</v>
      </c>
      <c r="I318" s="5">
        <v>174.08</v>
      </c>
      <c r="J318" s="5">
        <v>100.72</v>
      </c>
      <c r="K318" s="5">
        <v>100.72</v>
      </c>
      <c r="L318" s="5">
        <v>100.72</v>
      </c>
      <c r="M318" s="5">
        <v>100.72</v>
      </c>
    </row>
    <row r="319" spans="1:13" ht="15" customHeight="1" x14ac:dyDescent="0.35">
      <c r="A319" s="1">
        <v>55</v>
      </c>
      <c r="B319" s="5">
        <v>45.36</v>
      </c>
      <c r="C319" s="5">
        <v>64.77</v>
      </c>
      <c r="D319" s="5">
        <v>131.97999999999999</v>
      </c>
      <c r="E319" s="5">
        <v>141.46</v>
      </c>
      <c r="F319" s="5">
        <v>144.29</v>
      </c>
      <c r="G319" s="5">
        <v>162.19999999999999</v>
      </c>
      <c r="H319" s="5">
        <v>165.45</v>
      </c>
      <c r="I319" s="5">
        <v>174.4</v>
      </c>
      <c r="J319" s="5">
        <v>106.69</v>
      </c>
      <c r="K319" s="5">
        <v>106.69</v>
      </c>
      <c r="L319" s="5">
        <v>106.69</v>
      </c>
      <c r="M319" s="5">
        <v>106.69</v>
      </c>
    </row>
    <row r="320" spans="1:13" ht="15" customHeight="1" x14ac:dyDescent="0.35">
      <c r="A320" s="1">
        <v>56</v>
      </c>
      <c r="B320" s="5">
        <v>46.18</v>
      </c>
      <c r="C320" s="5">
        <v>67.02</v>
      </c>
      <c r="D320" s="5">
        <v>132.12</v>
      </c>
      <c r="E320" s="5">
        <v>145.51</v>
      </c>
      <c r="F320" s="5">
        <v>148.53</v>
      </c>
      <c r="G320" s="5">
        <v>164.47</v>
      </c>
      <c r="H320" s="5">
        <v>167.86</v>
      </c>
      <c r="I320" s="5">
        <v>174.51</v>
      </c>
      <c r="J320" s="5">
        <v>109.62</v>
      </c>
      <c r="K320" s="5">
        <v>109.62</v>
      </c>
      <c r="L320" s="5">
        <v>109.62</v>
      </c>
      <c r="M320" s="5">
        <v>109.62</v>
      </c>
    </row>
    <row r="321" spans="1:13" ht="15" customHeight="1" x14ac:dyDescent="0.35">
      <c r="A321" s="1">
        <v>57</v>
      </c>
      <c r="B321" s="5">
        <v>47.18</v>
      </c>
      <c r="C321" s="5">
        <v>68.430000000000007</v>
      </c>
      <c r="D321" s="5">
        <v>132.38</v>
      </c>
      <c r="E321" s="5">
        <v>145.91</v>
      </c>
      <c r="F321" s="5">
        <v>149.22999999999999</v>
      </c>
      <c r="G321" s="5">
        <v>164.7</v>
      </c>
      <c r="H321" s="5">
        <v>168.1</v>
      </c>
      <c r="I321" s="5">
        <v>174.87</v>
      </c>
      <c r="J321" s="5">
        <v>109.91</v>
      </c>
      <c r="K321" s="5">
        <v>109.91</v>
      </c>
      <c r="L321" s="5">
        <v>109.91</v>
      </c>
      <c r="M321" s="5">
        <v>109.91</v>
      </c>
    </row>
    <row r="322" spans="1:13" ht="15" customHeight="1" x14ac:dyDescent="0.35">
      <c r="A322" s="1">
        <v>58</v>
      </c>
      <c r="B322" s="5">
        <v>47.53</v>
      </c>
      <c r="C322" s="5">
        <v>70</v>
      </c>
      <c r="D322" s="5">
        <v>132.54</v>
      </c>
      <c r="E322" s="5">
        <v>146.06</v>
      </c>
      <c r="F322" s="5">
        <v>152.4</v>
      </c>
      <c r="G322" s="5">
        <v>165.15</v>
      </c>
      <c r="H322" s="5">
        <v>168.57</v>
      </c>
      <c r="I322" s="5">
        <v>181.91</v>
      </c>
      <c r="J322" s="5">
        <v>115.53</v>
      </c>
      <c r="K322" s="5">
        <v>115.53</v>
      </c>
      <c r="L322" s="5">
        <v>115.53</v>
      </c>
      <c r="M322" s="5">
        <v>115.53</v>
      </c>
    </row>
    <row r="323" spans="1:13" ht="15" customHeight="1" x14ac:dyDescent="0.35">
      <c r="A323" s="1">
        <v>59</v>
      </c>
      <c r="B323" s="5">
        <v>47.68</v>
      </c>
      <c r="C323" s="5">
        <v>71.790000000000006</v>
      </c>
      <c r="D323" s="5">
        <v>135.83000000000001</v>
      </c>
      <c r="E323" s="5">
        <v>148.34</v>
      </c>
      <c r="F323" s="5">
        <v>152.72</v>
      </c>
      <c r="G323" s="5">
        <v>165.63</v>
      </c>
      <c r="H323" s="5">
        <v>177.8</v>
      </c>
      <c r="I323" s="5">
        <v>185.63</v>
      </c>
      <c r="J323" s="5">
        <v>119.92</v>
      </c>
      <c r="K323" s="5">
        <v>119.92</v>
      </c>
      <c r="L323" s="5">
        <v>119.92</v>
      </c>
      <c r="M323" s="5">
        <v>119.92</v>
      </c>
    </row>
    <row r="324" spans="1:13" ht="15" customHeight="1" x14ac:dyDescent="0.35">
      <c r="A324" s="1">
        <v>60</v>
      </c>
      <c r="B324" s="5">
        <v>47.95</v>
      </c>
      <c r="C324" s="5">
        <v>73.39</v>
      </c>
      <c r="D324" s="5">
        <v>136.16</v>
      </c>
      <c r="E324" s="5">
        <v>148.57</v>
      </c>
      <c r="F324" s="5">
        <v>153.04</v>
      </c>
      <c r="G324" s="5">
        <v>175.11</v>
      </c>
      <c r="H324" s="5">
        <v>178.72</v>
      </c>
      <c r="I324" s="5">
        <v>188.63</v>
      </c>
      <c r="J324" s="5">
        <v>120.36</v>
      </c>
      <c r="K324" s="5">
        <v>120.36</v>
      </c>
      <c r="L324" s="5">
        <v>120.36</v>
      </c>
      <c r="M324" s="5">
        <v>120.36</v>
      </c>
    </row>
    <row r="325" spans="1:13" ht="15" customHeight="1" x14ac:dyDescent="0.35">
      <c r="A325" s="1">
        <v>61</v>
      </c>
      <c r="B325" s="5">
        <v>48.09</v>
      </c>
      <c r="C325" s="5">
        <v>74.77</v>
      </c>
      <c r="D325" s="5">
        <v>141.85</v>
      </c>
      <c r="E325" s="5">
        <v>153.02000000000001</v>
      </c>
      <c r="F325" s="5">
        <v>159.46</v>
      </c>
      <c r="G325" s="5">
        <v>180.75</v>
      </c>
      <c r="H325" s="5">
        <v>184.48</v>
      </c>
      <c r="I325" s="5">
        <v>190.2</v>
      </c>
      <c r="J325" s="5">
        <v>120.52</v>
      </c>
      <c r="K325" s="5">
        <v>120.52</v>
      </c>
      <c r="L325" s="5">
        <v>120.52</v>
      </c>
      <c r="M325" s="5">
        <v>120.52</v>
      </c>
    </row>
    <row r="326" spans="1:13" ht="15" customHeight="1" x14ac:dyDescent="0.35">
      <c r="A326" s="1">
        <v>62</v>
      </c>
      <c r="B326" s="5">
        <v>48.25</v>
      </c>
      <c r="C326" s="5">
        <v>75.84</v>
      </c>
      <c r="D326" s="5">
        <v>142.43</v>
      </c>
      <c r="E326" s="5">
        <v>153.47999999999999</v>
      </c>
      <c r="F326" s="5">
        <v>160.13</v>
      </c>
      <c r="G326" s="5">
        <v>181.32</v>
      </c>
      <c r="H326" s="5">
        <v>186.39</v>
      </c>
      <c r="I326" s="5">
        <v>193.74</v>
      </c>
      <c r="J326" s="5">
        <v>120.68</v>
      </c>
      <c r="K326" s="5">
        <v>120.68</v>
      </c>
      <c r="L326" s="5">
        <v>120.68</v>
      </c>
      <c r="M326" s="5">
        <v>120.68</v>
      </c>
    </row>
    <row r="327" spans="1:13" ht="15" customHeight="1" x14ac:dyDescent="0.35">
      <c r="A327" s="1">
        <v>63</v>
      </c>
      <c r="B327" s="5">
        <v>51.34</v>
      </c>
      <c r="C327" s="5">
        <v>77.349999999999994</v>
      </c>
      <c r="D327" s="5">
        <v>145.30000000000001</v>
      </c>
      <c r="E327" s="5">
        <v>155.22</v>
      </c>
      <c r="F327" s="5">
        <v>160.9</v>
      </c>
      <c r="G327" s="5">
        <v>186.11</v>
      </c>
      <c r="H327" s="5">
        <v>189.93</v>
      </c>
      <c r="I327" s="5">
        <v>205.87</v>
      </c>
      <c r="J327" s="5">
        <v>120.79</v>
      </c>
      <c r="K327" s="5">
        <v>120.79</v>
      </c>
      <c r="L327" s="5">
        <v>120.79</v>
      </c>
      <c r="M327" s="5">
        <v>120.79</v>
      </c>
    </row>
    <row r="328" spans="1:13" ht="15" customHeight="1" x14ac:dyDescent="0.35">
      <c r="A328" s="1">
        <v>64</v>
      </c>
      <c r="B328" s="5">
        <v>53.12</v>
      </c>
      <c r="C328" s="5">
        <v>77.66</v>
      </c>
      <c r="D328" s="5">
        <v>145.58000000000001</v>
      </c>
      <c r="E328" s="5">
        <v>159.72999999999999</v>
      </c>
      <c r="F328" s="5">
        <v>166.05</v>
      </c>
      <c r="G328" s="5">
        <v>189.57</v>
      </c>
      <c r="H328" s="5">
        <v>197.16</v>
      </c>
      <c r="I328" s="5">
        <v>207.09</v>
      </c>
      <c r="J328" s="5">
        <v>122.09</v>
      </c>
      <c r="K328" s="5">
        <v>122.09</v>
      </c>
      <c r="L328" s="5">
        <v>122.09</v>
      </c>
      <c r="M328" s="5">
        <v>122.09</v>
      </c>
    </row>
    <row r="329" spans="1:13" ht="15" customHeight="1" x14ac:dyDescent="0.35">
      <c r="A329" s="1">
        <v>65</v>
      </c>
      <c r="B329" s="5">
        <v>54.73</v>
      </c>
      <c r="C329" s="5">
        <v>80.069999999999993</v>
      </c>
      <c r="D329" s="5">
        <v>146.88999999999999</v>
      </c>
      <c r="E329" s="5">
        <v>161.54</v>
      </c>
      <c r="F329" s="5">
        <v>167.12</v>
      </c>
      <c r="G329" s="5">
        <v>189.91</v>
      </c>
      <c r="H329" s="5">
        <v>199.44</v>
      </c>
      <c r="I329" s="5">
        <v>207.21</v>
      </c>
      <c r="J329" s="5">
        <v>124.24</v>
      </c>
      <c r="K329" s="5">
        <v>124.24</v>
      </c>
      <c r="L329" s="5">
        <v>124.24</v>
      </c>
      <c r="M329" s="5">
        <v>124.24</v>
      </c>
    </row>
    <row r="330" spans="1:13" ht="15" customHeight="1" x14ac:dyDescent="0.35">
      <c r="A330" s="1">
        <v>66</v>
      </c>
      <c r="B330" s="5">
        <v>55.73</v>
      </c>
      <c r="C330" s="5">
        <v>80.319999999999993</v>
      </c>
      <c r="D330" s="5">
        <v>152.38</v>
      </c>
      <c r="E330" s="5">
        <v>166.74</v>
      </c>
      <c r="F330" s="5">
        <v>172.41</v>
      </c>
      <c r="G330" s="5">
        <v>190.18</v>
      </c>
      <c r="H330" s="5">
        <v>199.86</v>
      </c>
      <c r="I330" s="5">
        <v>207.79</v>
      </c>
      <c r="J330" s="5">
        <v>124.46</v>
      </c>
      <c r="K330" s="5">
        <v>124.46</v>
      </c>
      <c r="L330" s="5">
        <v>124.46</v>
      </c>
      <c r="M330" s="5">
        <v>124.46</v>
      </c>
    </row>
    <row r="331" spans="1:13" ht="15" customHeight="1" x14ac:dyDescent="0.35">
      <c r="A331" s="1">
        <v>67</v>
      </c>
      <c r="B331" s="5">
        <v>56.53</v>
      </c>
      <c r="C331" s="5">
        <v>83.49</v>
      </c>
      <c r="D331" s="5">
        <v>153.86000000000001</v>
      </c>
      <c r="E331" s="5">
        <v>167.25</v>
      </c>
      <c r="F331" s="5">
        <v>172.94</v>
      </c>
      <c r="G331" s="5">
        <v>192.9</v>
      </c>
      <c r="H331" s="5">
        <v>200</v>
      </c>
      <c r="I331" s="5">
        <v>219.43</v>
      </c>
      <c r="J331" s="5">
        <v>124.61</v>
      </c>
      <c r="K331" s="5">
        <v>124.61</v>
      </c>
      <c r="L331" s="5">
        <v>124.61</v>
      </c>
      <c r="M331" s="5">
        <v>124.61</v>
      </c>
    </row>
    <row r="332" spans="1:13" ht="15" customHeight="1" x14ac:dyDescent="0.35">
      <c r="A332" s="1">
        <v>68</v>
      </c>
      <c r="B332" s="5">
        <v>56.83</v>
      </c>
      <c r="C332" s="5">
        <v>85.03</v>
      </c>
      <c r="D332" s="5">
        <v>154.01</v>
      </c>
      <c r="E332" s="5">
        <v>169.38</v>
      </c>
      <c r="F332" s="5">
        <v>173.1</v>
      </c>
      <c r="G332" s="5">
        <v>193.17</v>
      </c>
      <c r="H332" s="5">
        <v>201.2</v>
      </c>
      <c r="I332" s="5">
        <v>220.6</v>
      </c>
      <c r="J332" s="5">
        <v>124.77</v>
      </c>
      <c r="K332" s="5">
        <v>124.77</v>
      </c>
      <c r="L332" s="5">
        <v>124.77</v>
      </c>
      <c r="M332" s="5">
        <v>124.77</v>
      </c>
    </row>
    <row r="333" spans="1:13" ht="15" customHeight="1" x14ac:dyDescent="0.35">
      <c r="A333" s="1">
        <v>69</v>
      </c>
      <c r="B333" s="5">
        <v>56.97</v>
      </c>
      <c r="C333" s="5">
        <v>86.43</v>
      </c>
      <c r="D333" s="5">
        <v>154.18</v>
      </c>
      <c r="E333" s="5">
        <v>169.87</v>
      </c>
      <c r="F333" s="5">
        <v>173.38</v>
      </c>
      <c r="G333" s="5">
        <v>193.29</v>
      </c>
      <c r="H333" s="5">
        <v>202.25</v>
      </c>
      <c r="I333" s="5">
        <v>220.71</v>
      </c>
      <c r="J333" s="5">
        <v>124.92</v>
      </c>
      <c r="K333" s="5">
        <v>124.92</v>
      </c>
      <c r="L333" s="5">
        <v>124.92</v>
      </c>
      <c r="M333" s="5">
        <v>124.92</v>
      </c>
    </row>
    <row r="334" spans="1:13" ht="15" customHeight="1" x14ac:dyDescent="0.35">
      <c r="A334" s="1">
        <v>70</v>
      </c>
      <c r="B334" s="5">
        <v>59.79</v>
      </c>
      <c r="C334" s="5">
        <v>88.22</v>
      </c>
      <c r="D334" s="5">
        <v>154.31</v>
      </c>
      <c r="E334" s="5">
        <v>170.03</v>
      </c>
      <c r="F334" s="5">
        <v>173.54</v>
      </c>
      <c r="G334" s="5">
        <v>193.57</v>
      </c>
      <c r="H334" s="5">
        <v>205.54</v>
      </c>
      <c r="I334" s="5">
        <v>221.14</v>
      </c>
      <c r="J334" s="5">
        <v>125.08</v>
      </c>
      <c r="K334" s="5">
        <v>125.08</v>
      </c>
      <c r="L334" s="5">
        <v>125.08</v>
      </c>
      <c r="M334" s="5">
        <v>125.08</v>
      </c>
    </row>
    <row r="335" spans="1:13" ht="15" customHeight="1" x14ac:dyDescent="0.35">
      <c r="A335" s="1">
        <v>71</v>
      </c>
      <c r="B335" s="5">
        <v>60.93</v>
      </c>
      <c r="C335" s="5">
        <v>89.63</v>
      </c>
      <c r="D335" s="5">
        <v>154.84</v>
      </c>
      <c r="E335" s="5">
        <v>170.34</v>
      </c>
      <c r="F335" s="5">
        <v>173.87</v>
      </c>
      <c r="G335" s="5">
        <v>199.31</v>
      </c>
      <c r="H335" s="5">
        <v>206.3</v>
      </c>
      <c r="I335" s="5">
        <v>221.32</v>
      </c>
      <c r="J335" s="5">
        <v>125.25</v>
      </c>
      <c r="K335" s="5">
        <v>125.25</v>
      </c>
      <c r="L335" s="5">
        <v>125.25</v>
      </c>
      <c r="M335" s="5">
        <v>125.25</v>
      </c>
    </row>
    <row r="336" spans="1:13" ht="15" customHeight="1" x14ac:dyDescent="0.35">
      <c r="A336" s="1">
        <v>72</v>
      </c>
      <c r="B336" s="5">
        <v>61.08</v>
      </c>
      <c r="C336" s="5">
        <v>91.02</v>
      </c>
      <c r="D336" s="5">
        <v>165.17</v>
      </c>
      <c r="E336" s="5">
        <v>173.88</v>
      </c>
      <c r="F336" s="5">
        <v>177.36</v>
      </c>
      <c r="G336" s="5">
        <v>207.41</v>
      </c>
      <c r="H336" s="5">
        <v>216.4</v>
      </c>
      <c r="I336" s="5">
        <v>224.88</v>
      </c>
      <c r="J336" s="5">
        <v>125.42</v>
      </c>
      <c r="K336" s="5">
        <v>125.42</v>
      </c>
      <c r="L336" s="5">
        <v>125.42</v>
      </c>
      <c r="M336" s="5">
        <v>125.42</v>
      </c>
    </row>
    <row r="337" spans="1:13" ht="15" customHeight="1" x14ac:dyDescent="0.35">
      <c r="A337" s="1">
        <v>73</v>
      </c>
      <c r="B337" s="5">
        <v>61.34</v>
      </c>
      <c r="C337" s="5">
        <v>93.06</v>
      </c>
      <c r="D337" s="5">
        <v>166.21</v>
      </c>
      <c r="E337" s="5">
        <v>176.7</v>
      </c>
      <c r="F337" s="5">
        <v>180.33</v>
      </c>
      <c r="G337" s="5">
        <v>211.8</v>
      </c>
      <c r="H337" s="5">
        <v>222.64</v>
      </c>
      <c r="I337" s="5">
        <v>228.16</v>
      </c>
      <c r="J337" s="5">
        <v>125.58</v>
      </c>
      <c r="K337" s="5">
        <v>125.58</v>
      </c>
      <c r="L337" s="5">
        <v>125.58</v>
      </c>
      <c r="M337" s="5">
        <v>125.58</v>
      </c>
    </row>
    <row r="338" spans="1:13" ht="15" customHeight="1" x14ac:dyDescent="0.35">
      <c r="A338" s="1">
        <v>74</v>
      </c>
      <c r="B338" s="5">
        <v>61.58</v>
      </c>
      <c r="C338" s="5">
        <v>93.28</v>
      </c>
      <c r="D338" s="5">
        <v>166.37</v>
      </c>
      <c r="E338" s="5">
        <v>176.98</v>
      </c>
      <c r="F338" s="5">
        <v>180.63</v>
      </c>
      <c r="G338" s="5">
        <v>212.23</v>
      </c>
      <c r="H338" s="5">
        <v>223.26</v>
      </c>
      <c r="I338" s="5">
        <v>231.62</v>
      </c>
      <c r="J338" s="5">
        <v>125.77</v>
      </c>
      <c r="K338" s="5">
        <v>125.77</v>
      </c>
      <c r="L338" s="5">
        <v>125.77</v>
      </c>
      <c r="M338" s="5">
        <v>125.77</v>
      </c>
    </row>
    <row r="339" spans="1:13" ht="15" customHeight="1" x14ac:dyDescent="0.35">
      <c r="A339" s="1">
        <v>75</v>
      </c>
      <c r="B339" s="5">
        <v>65.08</v>
      </c>
      <c r="C339" s="5">
        <v>95.58</v>
      </c>
      <c r="D339" s="5">
        <v>166.66</v>
      </c>
      <c r="E339" s="5">
        <v>177.28</v>
      </c>
      <c r="F339" s="5">
        <v>180.93</v>
      </c>
      <c r="G339" s="5">
        <v>212.53</v>
      </c>
      <c r="H339" s="5">
        <v>223.55</v>
      </c>
      <c r="I339" s="5">
        <v>231.97</v>
      </c>
      <c r="J339" s="5">
        <v>126.07</v>
      </c>
      <c r="K339" s="5">
        <v>126.07</v>
      </c>
      <c r="L339" s="5">
        <v>126.07</v>
      </c>
      <c r="M339" s="5">
        <v>126.07</v>
      </c>
    </row>
    <row r="340" spans="1:13" ht="15" customHeight="1" x14ac:dyDescent="0.35">
      <c r="A340" s="1">
        <v>76</v>
      </c>
      <c r="B340" s="5">
        <v>65.430000000000007</v>
      </c>
      <c r="C340" s="5">
        <v>95.91</v>
      </c>
      <c r="D340" s="5">
        <v>167.58</v>
      </c>
      <c r="E340" s="5">
        <v>178.84</v>
      </c>
      <c r="F340" s="5">
        <v>182.53</v>
      </c>
      <c r="G340" s="5">
        <v>215.21</v>
      </c>
      <c r="H340" s="5">
        <v>223.78</v>
      </c>
      <c r="I340" s="5">
        <v>238.24</v>
      </c>
      <c r="J340" s="5">
        <v>126.29</v>
      </c>
      <c r="K340" s="5">
        <v>126.29</v>
      </c>
      <c r="L340" s="5">
        <v>126.29</v>
      </c>
      <c r="M340" s="5">
        <v>126.29</v>
      </c>
    </row>
    <row r="341" spans="1:13" ht="15" customHeight="1" x14ac:dyDescent="0.35">
      <c r="A341" s="1">
        <v>77</v>
      </c>
      <c r="B341" s="5">
        <v>66.5</v>
      </c>
      <c r="C341" s="5">
        <v>96.24</v>
      </c>
      <c r="D341" s="5">
        <v>168.29</v>
      </c>
      <c r="E341" s="5">
        <v>184.73</v>
      </c>
      <c r="F341" s="5">
        <v>190.13</v>
      </c>
      <c r="G341" s="5">
        <v>218.79</v>
      </c>
      <c r="H341" s="5">
        <v>224</v>
      </c>
      <c r="I341" s="5">
        <v>239.13</v>
      </c>
      <c r="J341" s="5">
        <v>126.52</v>
      </c>
      <c r="K341" s="5">
        <v>126.52</v>
      </c>
      <c r="L341" s="5">
        <v>126.52</v>
      </c>
      <c r="M341" s="5">
        <v>126.52</v>
      </c>
    </row>
    <row r="342" spans="1:13" ht="15" customHeight="1" x14ac:dyDescent="0.35">
      <c r="A342" s="1">
        <v>78</v>
      </c>
      <c r="B342" s="5">
        <v>66.84</v>
      </c>
      <c r="C342" s="5">
        <v>100.64</v>
      </c>
      <c r="D342" s="5">
        <v>172.42</v>
      </c>
      <c r="E342" s="5">
        <v>188.96</v>
      </c>
      <c r="F342" s="5">
        <v>195.24</v>
      </c>
      <c r="G342" s="5">
        <v>219.15</v>
      </c>
      <c r="H342" s="5">
        <v>224.42</v>
      </c>
      <c r="I342" s="5">
        <v>239.97</v>
      </c>
      <c r="J342" s="5">
        <v>127.07</v>
      </c>
      <c r="K342" s="5">
        <v>127.07</v>
      </c>
      <c r="L342" s="5">
        <v>127.07</v>
      </c>
      <c r="M342" s="5">
        <v>127.07</v>
      </c>
    </row>
    <row r="343" spans="1:13" ht="15" customHeight="1" x14ac:dyDescent="0.35">
      <c r="A343" s="1">
        <v>79</v>
      </c>
      <c r="B343" s="5">
        <v>67.13</v>
      </c>
      <c r="C343" s="5">
        <v>101.08</v>
      </c>
      <c r="D343" s="5">
        <v>172.83</v>
      </c>
      <c r="E343" s="5">
        <v>189.38</v>
      </c>
      <c r="F343" s="5">
        <v>195.75</v>
      </c>
      <c r="G343" s="5">
        <v>220.23</v>
      </c>
      <c r="H343" s="5">
        <v>224.65</v>
      </c>
      <c r="I343" s="5">
        <v>245.73</v>
      </c>
      <c r="J343" s="5">
        <v>127.4</v>
      </c>
      <c r="K343" s="5">
        <v>127.4</v>
      </c>
      <c r="L343" s="5">
        <v>127.4</v>
      </c>
      <c r="M343" s="5">
        <v>127.4</v>
      </c>
    </row>
    <row r="344" spans="1:13" ht="15" customHeight="1" x14ac:dyDescent="0.35">
      <c r="A344" s="1">
        <v>80</v>
      </c>
      <c r="B344" s="5">
        <v>67.45</v>
      </c>
      <c r="C344" s="5">
        <v>103.96</v>
      </c>
      <c r="D344" s="5">
        <v>173.26</v>
      </c>
      <c r="E344" s="5">
        <v>190.11</v>
      </c>
      <c r="F344" s="5">
        <v>196.44</v>
      </c>
      <c r="G344" s="5">
        <v>220.8</v>
      </c>
      <c r="H344" s="5">
        <v>225.33</v>
      </c>
      <c r="I344" s="5">
        <v>260.61</v>
      </c>
      <c r="J344" s="5">
        <v>127.73</v>
      </c>
      <c r="K344" s="5">
        <v>127.73</v>
      </c>
      <c r="L344" s="5">
        <v>127.73</v>
      </c>
      <c r="M344" s="5">
        <v>127.73</v>
      </c>
    </row>
    <row r="345" spans="1:13" ht="15" customHeight="1" x14ac:dyDescent="0.35">
      <c r="A345" s="1">
        <v>81</v>
      </c>
      <c r="B345" s="5">
        <v>67.75</v>
      </c>
      <c r="C345" s="5">
        <v>105.89</v>
      </c>
      <c r="D345" s="5">
        <v>180.95</v>
      </c>
      <c r="E345" s="5">
        <v>204.62</v>
      </c>
      <c r="F345" s="5">
        <v>209.4</v>
      </c>
      <c r="G345" s="5">
        <v>229.44</v>
      </c>
      <c r="H345" s="5">
        <v>234.13</v>
      </c>
      <c r="I345" s="5">
        <v>262.10000000000002</v>
      </c>
      <c r="J345" s="5">
        <v>127.95</v>
      </c>
      <c r="K345" s="5">
        <v>127.95</v>
      </c>
      <c r="L345" s="5">
        <v>127.95</v>
      </c>
      <c r="M345" s="5">
        <v>127.95</v>
      </c>
    </row>
    <row r="346" spans="1:13" ht="15" customHeight="1" x14ac:dyDescent="0.35">
      <c r="A346" s="1">
        <v>82</v>
      </c>
      <c r="B346" s="5">
        <v>72.25</v>
      </c>
      <c r="C346" s="5">
        <v>106.11</v>
      </c>
      <c r="D346" s="5">
        <v>181.72</v>
      </c>
      <c r="E346" s="5">
        <v>206.06</v>
      </c>
      <c r="F346" s="5">
        <v>210.7</v>
      </c>
      <c r="G346" s="5">
        <v>230.3</v>
      </c>
      <c r="H346" s="5">
        <v>235.02</v>
      </c>
      <c r="I346" s="5">
        <v>262.32</v>
      </c>
      <c r="J346" s="5">
        <v>128.16999999999999</v>
      </c>
      <c r="K346" s="5">
        <v>128.16999999999999</v>
      </c>
      <c r="L346" s="5">
        <v>128.16999999999999</v>
      </c>
      <c r="M346" s="5">
        <v>128.16999999999999</v>
      </c>
    </row>
    <row r="347" spans="1:13" ht="15" customHeight="1" x14ac:dyDescent="0.35">
      <c r="A347" s="1">
        <v>83</v>
      </c>
      <c r="B347" s="5">
        <v>72.709999999999994</v>
      </c>
      <c r="C347" s="5">
        <v>106.77</v>
      </c>
      <c r="D347" s="5">
        <v>182.23</v>
      </c>
      <c r="E347" s="5">
        <v>206.37</v>
      </c>
      <c r="F347" s="5">
        <v>210.99</v>
      </c>
      <c r="G347" s="5">
        <v>230.6</v>
      </c>
      <c r="H347" s="5">
        <v>235.33</v>
      </c>
      <c r="I347" s="5">
        <v>262.79000000000002</v>
      </c>
      <c r="J347" s="5">
        <v>128.38999999999999</v>
      </c>
      <c r="K347" s="5">
        <v>128.38999999999999</v>
      </c>
      <c r="L347" s="5">
        <v>128.38999999999999</v>
      </c>
      <c r="M347" s="5">
        <v>128.38999999999999</v>
      </c>
    </row>
    <row r="348" spans="1:13" ht="15" customHeight="1" x14ac:dyDescent="0.35">
      <c r="A348" s="1">
        <v>84</v>
      </c>
      <c r="B348" s="5">
        <v>73.010000000000005</v>
      </c>
      <c r="C348" s="5">
        <v>106.99</v>
      </c>
      <c r="D348" s="5">
        <v>182.54</v>
      </c>
      <c r="E348" s="5">
        <v>206.67</v>
      </c>
      <c r="F348" s="5">
        <v>211.3</v>
      </c>
      <c r="G348" s="5">
        <v>235.43</v>
      </c>
      <c r="H348" s="5">
        <v>240.25</v>
      </c>
      <c r="I348" s="5">
        <v>271.97000000000003</v>
      </c>
      <c r="J348" s="5">
        <v>129.05000000000001</v>
      </c>
      <c r="K348" s="5">
        <v>129.05000000000001</v>
      </c>
      <c r="L348" s="5">
        <v>129.05000000000001</v>
      </c>
      <c r="M348" s="5">
        <v>129.05000000000001</v>
      </c>
    </row>
    <row r="349" spans="1:13" ht="15" customHeight="1" x14ac:dyDescent="0.35">
      <c r="A349" s="1">
        <v>85</v>
      </c>
      <c r="B349" s="5">
        <v>73.3</v>
      </c>
      <c r="C349" s="5">
        <v>107.21</v>
      </c>
      <c r="D349" s="5">
        <v>182.84</v>
      </c>
      <c r="E349" s="5">
        <v>206.97</v>
      </c>
      <c r="F349" s="5">
        <v>211.6</v>
      </c>
      <c r="G349" s="5">
        <v>235.91</v>
      </c>
      <c r="H349" s="5">
        <v>240.75</v>
      </c>
      <c r="I349" s="5">
        <v>278.35000000000002</v>
      </c>
      <c r="J349" s="5">
        <v>129.38</v>
      </c>
      <c r="K349" s="5">
        <v>129.38</v>
      </c>
      <c r="L349" s="5">
        <v>129.38</v>
      </c>
      <c r="M349" s="5">
        <v>129.38</v>
      </c>
    </row>
    <row r="350" spans="1:13" ht="15" customHeight="1" x14ac:dyDescent="0.35">
      <c r="A350" s="1">
        <v>86</v>
      </c>
      <c r="B350" s="5">
        <v>74.89</v>
      </c>
      <c r="C350" s="5">
        <v>107.43</v>
      </c>
      <c r="D350" s="5">
        <v>183.38</v>
      </c>
      <c r="E350" s="5">
        <v>207.74</v>
      </c>
      <c r="F350" s="5">
        <v>212</v>
      </c>
      <c r="G350" s="5">
        <v>236.2</v>
      </c>
      <c r="H350" s="5">
        <v>241.03</v>
      </c>
      <c r="I350" s="5">
        <v>278.99</v>
      </c>
      <c r="J350" s="5">
        <v>132.63</v>
      </c>
      <c r="K350" s="5">
        <v>132.63</v>
      </c>
      <c r="L350" s="5">
        <v>132.63</v>
      </c>
      <c r="M350" s="5">
        <v>132.63</v>
      </c>
    </row>
    <row r="351" spans="1:13" ht="15" customHeight="1" x14ac:dyDescent="0.35">
      <c r="A351" s="1">
        <v>87</v>
      </c>
      <c r="B351" s="5">
        <v>75.27</v>
      </c>
      <c r="C351" s="5">
        <v>107.66</v>
      </c>
      <c r="D351" s="5">
        <v>190.16</v>
      </c>
      <c r="E351" s="5">
        <v>208.68</v>
      </c>
      <c r="F351" s="5">
        <v>212.97</v>
      </c>
      <c r="G351" s="5">
        <v>236.57</v>
      </c>
      <c r="H351" s="5">
        <v>241.3</v>
      </c>
      <c r="I351" s="5">
        <v>279.35000000000002</v>
      </c>
      <c r="J351" s="5">
        <v>132.96</v>
      </c>
      <c r="K351" s="5">
        <v>132.96</v>
      </c>
      <c r="L351" s="5">
        <v>132.96</v>
      </c>
      <c r="M351" s="5">
        <v>132.96</v>
      </c>
    </row>
    <row r="352" spans="1:13" ht="15" customHeight="1" x14ac:dyDescent="0.35">
      <c r="A352" s="1">
        <v>88</v>
      </c>
      <c r="B352" s="5">
        <v>75.569999999999993</v>
      </c>
      <c r="C352" s="5">
        <v>107.89</v>
      </c>
      <c r="D352" s="5">
        <v>190.85</v>
      </c>
      <c r="E352" s="5">
        <v>209.15</v>
      </c>
      <c r="F352" s="5">
        <v>213.53</v>
      </c>
      <c r="G352" s="5">
        <v>237.5</v>
      </c>
      <c r="H352" s="5">
        <v>242.63</v>
      </c>
      <c r="I352" s="5">
        <v>279.57</v>
      </c>
      <c r="J352" s="5">
        <v>133.19</v>
      </c>
      <c r="K352" s="5">
        <v>133.19</v>
      </c>
      <c r="L352" s="5">
        <v>133.19</v>
      </c>
      <c r="M352" s="5">
        <v>133.19</v>
      </c>
    </row>
    <row r="353" spans="1:13" ht="15" customHeight="1" x14ac:dyDescent="0.35">
      <c r="A353" s="1">
        <v>89</v>
      </c>
      <c r="B353" s="5">
        <v>76.56</v>
      </c>
      <c r="C353" s="5">
        <v>108.11</v>
      </c>
      <c r="D353" s="5">
        <v>196.14</v>
      </c>
      <c r="E353" s="5">
        <v>215.37</v>
      </c>
      <c r="F353" s="5">
        <v>224.64</v>
      </c>
      <c r="G353" s="5">
        <v>255.7</v>
      </c>
      <c r="H353" s="5">
        <v>265.73</v>
      </c>
      <c r="I353" s="5">
        <v>279.86</v>
      </c>
      <c r="J353" s="5">
        <v>133.41</v>
      </c>
      <c r="K353" s="5">
        <v>133.41</v>
      </c>
      <c r="L353" s="5">
        <v>133.41</v>
      </c>
      <c r="M353" s="5">
        <v>133.41</v>
      </c>
    </row>
    <row r="354" spans="1:13" ht="15" customHeight="1" x14ac:dyDescent="0.35">
      <c r="A354" s="1">
        <v>90</v>
      </c>
      <c r="B354" s="5">
        <v>76.78</v>
      </c>
      <c r="C354" s="5">
        <v>108.33</v>
      </c>
      <c r="D354" s="5">
        <v>198.28</v>
      </c>
      <c r="E354" s="5">
        <v>216.65</v>
      </c>
      <c r="F354" s="5">
        <v>227.52</v>
      </c>
      <c r="G354" s="5">
        <v>262.67</v>
      </c>
      <c r="H354" s="5">
        <v>268.05</v>
      </c>
      <c r="I354" s="5">
        <v>283.76</v>
      </c>
      <c r="J354" s="5">
        <v>133.77000000000001</v>
      </c>
      <c r="K354" s="5">
        <v>133.77000000000001</v>
      </c>
      <c r="L354" s="5">
        <v>133.77000000000001</v>
      </c>
      <c r="M354" s="5">
        <v>133.77000000000001</v>
      </c>
    </row>
    <row r="355" spans="1:13" ht="15" customHeight="1" x14ac:dyDescent="0.35">
      <c r="A355" s="1">
        <v>91</v>
      </c>
      <c r="B355" s="5">
        <v>77</v>
      </c>
      <c r="C355" s="5">
        <v>108.55</v>
      </c>
      <c r="D355" s="5">
        <v>198.73</v>
      </c>
      <c r="E355" s="5">
        <v>219.99</v>
      </c>
      <c r="F355" s="5">
        <v>227.81</v>
      </c>
      <c r="G355" s="5">
        <v>263.37</v>
      </c>
      <c r="H355" s="5">
        <v>271.82</v>
      </c>
      <c r="I355" s="5">
        <v>284.22000000000003</v>
      </c>
      <c r="J355" s="5">
        <v>141.13</v>
      </c>
      <c r="K355" s="5">
        <v>141.13</v>
      </c>
      <c r="L355" s="5">
        <v>141.13</v>
      </c>
      <c r="M355" s="5">
        <v>141.13</v>
      </c>
    </row>
    <row r="356" spans="1:13" ht="15" customHeight="1" x14ac:dyDescent="0.35">
      <c r="A356" s="1">
        <v>92</v>
      </c>
      <c r="B356" s="5">
        <v>77.22</v>
      </c>
      <c r="C356" s="5">
        <v>108.77</v>
      </c>
      <c r="D356" s="5">
        <v>198.95</v>
      </c>
      <c r="E356" s="5">
        <v>220.33</v>
      </c>
      <c r="F356" s="5">
        <v>228.1</v>
      </c>
      <c r="G356" s="5">
        <v>263.58999999999997</v>
      </c>
      <c r="H356" s="5">
        <v>272.19</v>
      </c>
      <c r="I356" s="5">
        <v>284.44</v>
      </c>
      <c r="J356" s="5">
        <v>159.19</v>
      </c>
      <c r="K356" s="5">
        <v>159.19</v>
      </c>
      <c r="L356" s="5">
        <v>159.19</v>
      </c>
      <c r="M356" s="5">
        <v>159.19</v>
      </c>
    </row>
    <row r="357" spans="1:13" ht="15" customHeight="1" x14ac:dyDescent="0.35">
      <c r="A357" s="1">
        <v>93</v>
      </c>
      <c r="B357" s="5">
        <v>77.45</v>
      </c>
      <c r="C357" s="5">
        <v>109</v>
      </c>
      <c r="D357" s="5">
        <v>199.19</v>
      </c>
      <c r="E357" s="5">
        <v>220.61</v>
      </c>
      <c r="F357" s="5">
        <v>228.32</v>
      </c>
      <c r="G357" s="5">
        <v>263.82</v>
      </c>
      <c r="H357" s="5">
        <v>272.51</v>
      </c>
      <c r="I357" s="5">
        <v>284.74</v>
      </c>
      <c r="J357" s="5">
        <v>161.01</v>
      </c>
      <c r="K357" s="5">
        <v>161.01</v>
      </c>
      <c r="L357" s="5">
        <v>161.01</v>
      </c>
      <c r="M357" s="5">
        <v>161.01</v>
      </c>
    </row>
    <row r="358" spans="1:13" ht="15" customHeight="1" x14ac:dyDescent="0.35">
      <c r="A358" s="1">
        <v>94</v>
      </c>
      <c r="B358" s="5">
        <v>77.680000000000007</v>
      </c>
      <c r="C358" s="5">
        <v>109.23</v>
      </c>
      <c r="D358" s="5">
        <v>199.41</v>
      </c>
      <c r="E358" s="5">
        <v>220.91</v>
      </c>
      <c r="F358" s="5">
        <v>228.68</v>
      </c>
      <c r="G358" s="5">
        <v>264.26</v>
      </c>
      <c r="H358" s="5">
        <v>272.83999999999997</v>
      </c>
      <c r="I358" s="5">
        <v>285.02</v>
      </c>
      <c r="J358" s="5">
        <v>161.32</v>
      </c>
      <c r="K358" s="5">
        <v>161.32</v>
      </c>
      <c r="L358" s="5">
        <v>161.32</v>
      </c>
      <c r="M358" s="5">
        <v>161.32</v>
      </c>
    </row>
    <row r="359" spans="1:13" ht="15" customHeight="1" x14ac:dyDescent="0.35">
      <c r="A359" s="1">
        <v>95</v>
      </c>
      <c r="B359" s="5">
        <v>77.900000000000006</v>
      </c>
      <c r="C359" s="5">
        <v>109.45</v>
      </c>
      <c r="D359" s="5">
        <v>199.63</v>
      </c>
      <c r="E359" s="5">
        <v>221.56</v>
      </c>
      <c r="F359" s="5">
        <v>228.98</v>
      </c>
      <c r="G359" s="5">
        <v>264.49</v>
      </c>
      <c r="H359" s="5">
        <v>273.17</v>
      </c>
      <c r="I359" s="5">
        <v>285.57</v>
      </c>
      <c r="J359" s="5">
        <v>161.62</v>
      </c>
      <c r="K359" s="5">
        <v>161.62</v>
      </c>
      <c r="L359" s="5">
        <v>161.62</v>
      </c>
      <c r="M359" s="5">
        <v>161.62</v>
      </c>
    </row>
    <row r="360" spans="1:13" ht="15" customHeight="1" x14ac:dyDescent="0.35">
      <c r="A360" s="1">
        <v>96</v>
      </c>
      <c r="B360" s="5">
        <v>78.12</v>
      </c>
      <c r="C360" s="5">
        <v>109.67</v>
      </c>
      <c r="D360" s="5">
        <v>199.85</v>
      </c>
      <c r="E360" s="5">
        <v>224.05</v>
      </c>
      <c r="F360" s="5">
        <v>230.71</v>
      </c>
      <c r="G360" s="5">
        <v>264.82</v>
      </c>
      <c r="H360" s="5">
        <v>273.45</v>
      </c>
      <c r="I360" s="5">
        <v>286.26</v>
      </c>
      <c r="J360" s="5">
        <v>167.74</v>
      </c>
      <c r="K360" s="5">
        <v>167.74</v>
      </c>
      <c r="L360" s="5">
        <v>167.74</v>
      </c>
      <c r="M360" s="5">
        <v>167.74</v>
      </c>
    </row>
    <row r="361" spans="1:13" ht="15" customHeight="1" x14ac:dyDescent="0.35">
      <c r="A361" s="1">
        <v>97</v>
      </c>
      <c r="B361" s="5">
        <v>78.34</v>
      </c>
      <c r="C361" s="5">
        <v>109.89</v>
      </c>
      <c r="D361" s="5">
        <v>200.07</v>
      </c>
      <c r="E361" s="5">
        <v>224.3</v>
      </c>
      <c r="F361" s="5">
        <v>230.94</v>
      </c>
      <c r="G361" s="5">
        <v>265.05</v>
      </c>
      <c r="H361" s="5">
        <v>273.81</v>
      </c>
      <c r="I361" s="5">
        <v>300.08</v>
      </c>
      <c r="J361" s="5">
        <v>173.7</v>
      </c>
      <c r="K361" s="5">
        <v>173.7</v>
      </c>
      <c r="L361" s="5">
        <v>173.7</v>
      </c>
      <c r="M361" s="5">
        <v>173.7</v>
      </c>
    </row>
    <row r="362" spans="1:13" ht="15" customHeight="1" x14ac:dyDescent="0.35">
      <c r="A362" s="1">
        <v>98</v>
      </c>
      <c r="B362" s="5">
        <v>78.569999999999993</v>
      </c>
      <c r="C362" s="5">
        <v>110.12</v>
      </c>
      <c r="D362" s="5">
        <v>200.3</v>
      </c>
      <c r="E362" s="5">
        <v>224.95</v>
      </c>
      <c r="F362" s="5">
        <v>234.74</v>
      </c>
      <c r="G362" s="5">
        <v>265.83999999999997</v>
      </c>
      <c r="H362" s="5">
        <v>274.45</v>
      </c>
      <c r="I362" s="5">
        <v>301.48</v>
      </c>
      <c r="J362" s="5">
        <v>174.75</v>
      </c>
      <c r="K362" s="5">
        <v>174.75</v>
      </c>
      <c r="L362" s="5">
        <v>174.75</v>
      </c>
      <c r="M362" s="5">
        <v>174.75</v>
      </c>
    </row>
    <row r="363" spans="1:13" ht="15" customHeight="1" x14ac:dyDescent="0.35">
      <c r="A363" s="1">
        <v>99</v>
      </c>
      <c r="B363" s="5">
        <v>78.790000000000006</v>
      </c>
      <c r="C363" s="5">
        <v>110.34</v>
      </c>
      <c r="D363" s="5">
        <v>200.52</v>
      </c>
      <c r="E363" s="5">
        <v>237.84</v>
      </c>
      <c r="F363" s="5">
        <v>243.68</v>
      </c>
      <c r="G363" s="5">
        <v>281.74</v>
      </c>
      <c r="H363" s="5">
        <v>287.38</v>
      </c>
      <c r="I363" s="5">
        <v>306.27</v>
      </c>
      <c r="J363" s="5">
        <v>175.71</v>
      </c>
      <c r="K363" s="5">
        <v>175.71</v>
      </c>
      <c r="L363" s="5">
        <v>175.71</v>
      </c>
      <c r="M363" s="5">
        <v>175.71</v>
      </c>
    </row>
    <row r="364" spans="1:13" ht="15" customHeight="1" x14ac:dyDescent="0.35">
      <c r="A364" s="1">
        <v>100</v>
      </c>
      <c r="B364" s="5">
        <v>78.87</v>
      </c>
      <c r="C364" s="5">
        <v>110.44</v>
      </c>
      <c r="D364" s="5">
        <v>200.74</v>
      </c>
      <c r="E364" s="5">
        <v>239.55</v>
      </c>
      <c r="F364" s="5">
        <v>244.58</v>
      </c>
      <c r="G364" s="5">
        <v>293.27999999999997</v>
      </c>
      <c r="H364" s="5">
        <v>306.27999999999997</v>
      </c>
      <c r="I364" s="5">
        <v>328.34</v>
      </c>
      <c r="J364" s="5">
        <v>194.88</v>
      </c>
      <c r="K364" s="5">
        <v>194.88</v>
      </c>
      <c r="L364" s="5">
        <v>194.88</v>
      </c>
      <c r="M364" s="5">
        <v>194.88</v>
      </c>
    </row>
    <row r="365" spans="1:13" ht="15" customHeight="1" x14ac:dyDescent="0.35">
      <c r="A365" s="1">
        <v>101</v>
      </c>
      <c r="B365" s="5">
        <v>79.66</v>
      </c>
      <c r="C365" s="5">
        <v>111.54</v>
      </c>
      <c r="D365" s="5">
        <v>202.75</v>
      </c>
      <c r="E365" s="5">
        <v>241.95</v>
      </c>
      <c r="F365" s="5">
        <v>247.03</v>
      </c>
      <c r="G365" s="5">
        <v>296.20999999999998</v>
      </c>
      <c r="H365" s="5">
        <v>309.33999999999997</v>
      </c>
      <c r="I365" s="5">
        <v>331.63</v>
      </c>
      <c r="J365" s="5">
        <v>196.83</v>
      </c>
      <c r="K365" s="5">
        <v>196.83</v>
      </c>
      <c r="L365" s="5">
        <v>196.83</v>
      </c>
      <c r="M365" s="5">
        <v>196.83</v>
      </c>
    </row>
    <row r="366" spans="1:13" ht="15" customHeight="1" x14ac:dyDescent="0.35">
      <c r="A366" s="1">
        <v>102</v>
      </c>
      <c r="B366" s="5">
        <v>80.45</v>
      </c>
      <c r="C366" s="5">
        <v>112.65</v>
      </c>
      <c r="D366" s="5">
        <v>204.76</v>
      </c>
      <c r="E366" s="5">
        <v>244.34</v>
      </c>
      <c r="F366" s="5">
        <v>249.47</v>
      </c>
      <c r="G366" s="5">
        <v>299.14999999999998</v>
      </c>
      <c r="H366" s="5">
        <v>312.41000000000003</v>
      </c>
      <c r="I366" s="5">
        <v>334.9</v>
      </c>
      <c r="J366" s="5">
        <v>198.77</v>
      </c>
      <c r="K366" s="5">
        <v>198.77</v>
      </c>
      <c r="L366" s="5">
        <v>198.77</v>
      </c>
      <c r="M366" s="5">
        <v>198.77</v>
      </c>
    </row>
    <row r="367" spans="1:13" ht="15" customHeight="1" x14ac:dyDescent="0.35">
      <c r="A367" s="1">
        <v>103</v>
      </c>
      <c r="B367" s="5">
        <v>81.239999999999995</v>
      </c>
      <c r="C367" s="5">
        <v>113.75</v>
      </c>
      <c r="D367" s="5">
        <v>206.77</v>
      </c>
      <c r="E367" s="5">
        <v>246.74</v>
      </c>
      <c r="F367" s="5">
        <v>251.92</v>
      </c>
      <c r="G367" s="5">
        <v>302.08</v>
      </c>
      <c r="H367" s="5">
        <v>315.47000000000003</v>
      </c>
      <c r="I367" s="5">
        <v>338.19</v>
      </c>
      <c r="J367" s="5">
        <v>200.73</v>
      </c>
      <c r="K367" s="5">
        <v>200.73</v>
      </c>
      <c r="L367" s="5">
        <v>200.73</v>
      </c>
      <c r="M367" s="5">
        <v>200.73</v>
      </c>
    </row>
    <row r="368" spans="1:13" ht="15" customHeight="1" x14ac:dyDescent="0.35">
      <c r="A368" s="1">
        <v>104</v>
      </c>
      <c r="B368" s="5">
        <v>82.02</v>
      </c>
      <c r="C368" s="5">
        <v>114.86</v>
      </c>
      <c r="D368" s="5">
        <v>208.78</v>
      </c>
      <c r="E368" s="5">
        <v>249.13</v>
      </c>
      <c r="F368" s="5">
        <v>254.37</v>
      </c>
      <c r="G368" s="5">
        <v>305.01</v>
      </c>
      <c r="H368" s="5">
        <v>318.52999999999997</v>
      </c>
      <c r="I368" s="5">
        <v>341.48</v>
      </c>
      <c r="J368" s="5">
        <v>202.68</v>
      </c>
      <c r="K368" s="5">
        <v>202.68</v>
      </c>
      <c r="L368" s="5">
        <v>202.68</v>
      </c>
      <c r="M368" s="5">
        <v>202.68</v>
      </c>
    </row>
    <row r="369" spans="1:13" ht="15" customHeight="1" x14ac:dyDescent="0.35">
      <c r="A369" s="1">
        <v>105</v>
      </c>
      <c r="B369" s="5">
        <v>82.81</v>
      </c>
      <c r="C369" s="5">
        <v>115.96</v>
      </c>
      <c r="D369" s="5">
        <v>210.79</v>
      </c>
      <c r="E369" s="5">
        <v>251.53</v>
      </c>
      <c r="F369" s="5">
        <v>256.81</v>
      </c>
      <c r="G369" s="5">
        <v>307.94</v>
      </c>
      <c r="H369" s="5">
        <v>321.60000000000002</v>
      </c>
      <c r="I369" s="5">
        <v>344.75</v>
      </c>
      <c r="J369" s="5">
        <v>204.62</v>
      </c>
      <c r="K369" s="5">
        <v>204.62</v>
      </c>
      <c r="L369" s="5">
        <v>204.62</v>
      </c>
      <c r="M369" s="5">
        <v>204.62</v>
      </c>
    </row>
    <row r="370" spans="1:13" ht="15" customHeight="1" x14ac:dyDescent="0.35">
      <c r="A370" s="1">
        <v>106</v>
      </c>
      <c r="B370" s="5">
        <v>83.6</v>
      </c>
      <c r="C370" s="5">
        <v>117.07</v>
      </c>
      <c r="D370" s="5">
        <v>212.78</v>
      </c>
      <c r="E370" s="5">
        <v>253.93</v>
      </c>
      <c r="F370" s="5">
        <v>259.26</v>
      </c>
      <c r="G370" s="5">
        <v>310.88</v>
      </c>
      <c r="H370" s="5">
        <v>324.66000000000003</v>
      </c>
      <c r="I370" s="5">
        <v>348.04</v>
      </c>
      <c r="J370" s="5">
        <v>206.57</v>
      </c>
      <c r="K370" s="5">
        <v>206.57</v>
      </c>
      <c r="L370" s="5">
        <v>206.57</v>
      </c>
      <c r="M370" s="5">
        <v>206.57</v>
      </c>
    </row>
    <row r="371" spans="1:13" ht="15" customHeight="1" x14ac:dyDescent="0.35">
      <c r="A371" s="1">
        <v>107</v>
      </c>
      <c r="B371" s="5">
        <v>84.39</v>
      </c>
      <c r="C371" s="5">
        <v>118.17</v>
      </c>
      <c r="D371" s="5">
        <v>214.79</v>
      </c>
      <c r="E371" s="5">
        <v>256.32</v>
      </c>
      <c r="F371" s="5">
        <v>261.69</v>
      </c>
      <c r="G371" s="5">
        <v>313.81</v>
      </c>
      <c r="H371" s="5">
        <v>327.72</v>
      </c>
      <c r="I371" s="5">
        <v>351.32</v>
      </c>
      <c r="J371" s="5">
        <v>208.53</v>
      </c>
      <c r="K371" s="5">
        <v>208.53</v>
      </c>
      <c r="L371" s="5">
        <v>208.53</v>
      </c>
      <c r="M371" s="5">
        <v>208.53</v>
      </c>
    </row>
    <row r="372" spans="1:13" ht="15" customHeight="1" x14ac:dyDescent="0.35">
      <c r="A372" s="1">
        <v>108</v>
      </c>
      <c r="B372" s="5">
        <v>85.18</v>
      </c>
      <c r="C372" s="5">
        <v>119.28</v>
      </c>
      <c r="D372" s="5">
        <v>216.8</v>
      </c>
      <c r="E372" s="5">
        <v>258.72000000000003</v>
      </c>
      <c r="F372" s="5">
        <v>264.14</v>
      </c>
      <c r="G372" s="5">
        <v>316.74</v>
      </c>
      <c r="H372" s="5">
        <v>330.79</v>
      </c>
      <c r="I372" s="5">
        <v>354.61</v>
      </c>
      <c r="J372" s="5">
        <v>210.47</v>
      </c>
      <c r="K372" s="5">
        <v>210.47</v>
      </c>
      <c r="L372" s="5">
        <v>210.47</v>
      </c>
      <c r="M372" s="5">
        <v>210.47</v>
      </c>
    </row>
    <row r="373" spans="1:13" ht="15" customHeight="1" x14ac:dyDescent="0.35">
      <c r="A373" s="1">
        <v>109</v>
      </c>
      <c r="B373" s="5">
        <v>85.97</v>
      </c>
      <c r="C373" s="5">
        <v>120.38</v>
      </c>
      <c r="D373" s="5">
        <v>218.81</v>
      </c>
      <c r="E373" s="5">
        <v>261.12</v>
      </c>
      <c r="F373" s="5">
        <v>266.58999999999997</v>
      </c>
      <c r="G373" s="5">
        <v>319.68</v>
      </c>
      <c r="H373" s="5">
        <v>333.85</v>
      </c>
      <c r="I373" s="5">
        <v>357.89</v>
      </c>
      <c r="J373" s="5">
        <v>212.42</v>
      </c>
      <c r="K373" s="5">
        <v>212.42</v>
      </c>
      <c r="L373" s="5">
        <v>212.42</v>
      </c>
      <c r="M373" s="5">
        <v>212.42</v>
      </c>
    </row>
    <row r="374" spans="1:13" ht="15" customHeight="1" x14ac:dyDescent="0.35">
      <c r="A374" s="1">
        <v>110</v>
      </c>
      <c r="B374" s="5">
        <v>86.76</v>
      </c>
      <c r="C374" s="5">
        <v>121.48</v>
      </c>
      <c r="D374" s="5">
        <v>220.82</v>
      </c>
      <c r="E374" s="5">
        <v>263.51</v>
      </c>
      <c r="F374" s="5">
        <v>269.02999999999997</v>
      </c>
      <c r="G374" s="5">
        <v>322.61</v>
      </c>
      <c r="H374" s="5">
        <v>336.91</v>
      </c>
      <c r="I374" s="5">
        <v>361.17</v>
      </c>
      <c r="J374" s="5">
        <v>214.37</v>
      </c>
      <c r="K374" s="5">
        <v>214.37</v>
      </c>
      <c r="L374" s="5">
        <v>214.37</v>
      </c>
      <c r="M374" s="5">
        <v>214.37</v>
      </c>
    </row>
    <row r="375" spans="1:13" ht="15" customHeight="1" x14ac:dyDescent="0.35">
      <c r="A375" s="1">
        <v>111</v>
      </c>
      <c r="B375" s="5">
        <v>87.55</v>
      </c>
      <c r="C375" s="5">
        <v>122.59</v>
      </c>
      <c r="D375" s="5">
        <v>222.83</v>
      </c>
      <c r="E375" s="5">
        <v>265.91000000000003</v>
      </c>
      <c r="F375" s="5">
        <v>271.48</v>
      </c>
      <c r="G375" s="5">
        <v>325.54000000000002</v>
      </c>
      <c r="H375" s="5">
        <v>339.98</v>
      </c>
      <c r="I375" s="5">
        <v>364.46</v>
      </c>
      <c r="J375" s="5">
        <v>216.31</v>
      </c>
      <c r="K375" s="5">
        <v>216.31</v>
      </c>
      <c r="L375" s="5">
        <v>216.31</v>
      </c>
      <c r="M375" s="5">
        <v>216.31</v>
      </c>
    </row>
    <row r="376" spans="1:13" ht="15" customHeight="1" x14ac:dyDescent="0.35">
      <c r="A376" s="1">
        <v>112</v>
      </c>
      <c r="B376" s="5">
        <v>88.33</v>
      </c>
      <c r="C376" s="5">
        <v>123.69</v>
      </c>
      <c r="D376" s="5">
        <v>224.83</v>
      </c>
      <c r="E376" s="5">
        <v>268.3</v>
      </c>
      <c r="F376" s="5">
        <v>273.93</v>
      </c>
      <c r="G376" s="5">
        <v>328.47</v>
      </c>
      <c r="H376" s="5">
        <v>343.04</v>
      </c>
      <c r="I376" s="5">
        <v>367.74</v>
      </c>
      <c r="J376" s="5">
        <v>218.27</v>
      </c>
      <c r="K376" s="5">
        <v>218.27</v>
      </c>
      <c r="L376" s="5">
        <v>218.27</v>
      </c>
      <c r="M376" s="5">
        <v>218.27</v>
      </c>
    </row>
    <row r="377" spans="1:13" ht="15" customHeight="1" x14ac:dyDescent="0.35">
      <c r="A377" s="1">
        <v>113</v>
      </c>
      <c r="B377" s="5">
        <v>89.12</v>
      </c>
      <c r="C377" s="5">
        <v>124.8</v>
      </c>
      <c r="D377" s="5">
        <v>226.84</v>
      </c>
      <c r="E377" s="5">
        <v>270.69</v>
      </c>
      <c r="F377" s="5">
        <v>276.37</v>
      </c>
      <c r="G377" s="5">
        <v>331.41</v>
      </c>
      <c r="H377" s="5">
        <v>346.1</v>
      </c>
      <c r="I377" s="5">
        <v>371.02</v>
      </c>
      <c r="J377" s="5">
        <v>220.22</v>
      </c>
      <c r="K377" s="5">
        <v>220.22</v>
      </c>
      <c r="L377" s="5">
        <v>220.22</v>
      </c>
      <c r="M377" s="5">
        <v>220.22</v>
      </c>
    </row>
    <row r="378" spans="1:13" ht="15" customHeight="1" x14ac:dyDescent="0.35">
      <c r="A378" s="1">
        <v>114</v>
      </c>
      <c r="B378" s="5">
        <v>89.91</v>
      </c>
      <c r="C378" s="5">
        <v>125.9</v>
      </c>
      <c r="D378" s="5">
        <v>228.85</v>
      </c>
      <c r="E378" s="5">
        <v>273.08999999999997</v>
      </c>
      <c r="F378" s="5">
        <v>278.82</v>
      </c>
      <c r="G378" s="5">
        <v>334.34</v>
      </c>
      <c r="H378" s="5">
        <v>349.17</v>
      </c>
      <c r="I378" s="5">
        <v>374.31</v>
      </c>
      <c r="J378" s="5">
        <v>222.16</v>
      </c>
      <c r="K378" s="5">
        <v>222.16</v>
      </c>
      <c r="L378" s="5">
        <v>222.16</v>
      </c>
      <c r="M378" s="5">
        <v>222.16</v>
      </c>
    </row>
    <row r="379" spans="1:13" ht="15" customHeight="1" x14ac:dyDescent="0.35">
      <c r="A379" s="1">
        <v>115</v>
      </c>
      <c r="B379" s="5">
        <v>90.7</v>
      </c>
      <c r="C379" s="5">
        <v>127.01</v>
      </c>
      <c r="D379" s="5">
        <v>230.86</v>
      </c>
      <c r="E379" s="5">
        <v>275.48</v>
      </c>
      <c r="F379" s="5">
        <v>281.27</v>
      </c>
      <c r="G379" s="5">
        <v>337.27</v>
      </c>
      <c r="H379" s="5">
        <v>352.23</v>
      </c>
      <c r="I379" s="5">
        <v>377.59</v>
      </c>
      <c r="J379" s="5">
        <v>224.11</v>
      </c>
      <c r="K379" s="5">
        <v>224.11</v>
      </c>
      <c r="L379" s="5">
        <v>224.11</v>
      </c>
      <c r="M379" s="5">
        <v>224.11</v>
      </c>
    </row>
    <row r="380" spans="1:13" ht="15" customHeight="1" x14ac:dyDescent="0.35">
      <c r="A380" s="1">
        <v>116</v>
      </c>
      <c r="B380" s="5">
        <v>91.49</v>
      </c>
      <c r="C380" s="5">
        <v>128.11000000000001</v>
      </c>
      <c r="D380" s="5">
        <v>232.87</v>
      </c>
      <c r="E380" s="5">
        <v>277.88</v>
      </c>
      <c r="F380" s="5">
        <v>283.70999999999998</v>
      </c>
      <c r="G380" s="5">
        <v>340.2</v>
      </c>
      <c r="H380" s="5">
        <v>355.28</v>
      </c>
      <c r="I380" s="5">
        <v>380.87</v>
      </c>
      <c r="J380" s="5">
        <v>226.07</v>
      </c>
      <c r="K380" s="5">
        <v>226.07</v>
      </c>
      <c r="L380" s="5">
        <v>226.07</v>
      </c>
      <c r="M380" s="5">
        <v>226.07</v>
      </c>
    </row>
    <row r="381" spans="1:13" ht="15" customHeight="1" x14ac:dyDescent="0.35">
      <c r="A381" s="1">
        <v>117</v>
      </c>
      <c r="B381" s="5">
        <v>92.28</v>
      </c>
      <c r="C381" s="5">
        <v>129.21</v>
      </c>
      <c r="D381" s="5">
        <v>234.87</v>
      </c>
      <c r="E381" s="5">
        <v>280.27999999999997</v>
      </c>
      <c r="F381" s="5">
        <v>286.16000000000003</v>
      </c>
      <c r="G381" s="5">
        <v>343.14</v>
      </c>
      <c r="H381" s="5">
        <v>358.35</v>
      </c>
      <c r="I381" s="5">
        <v>384.16</v>
      </c>
      <c r="J381" s="5">
        <v>228.01</v>
      </c>
      <c r="K381" s="5">
        <v>228.01</v>
      </c>
      <c r="L381" s="5">
        <v>228.01</v>
      </c>
      <c r="M381" s="5">
        <v>228.01</v>
      </c>
    </row>
    <row r="382" spans="1:13" ht="15" customHeight="1" x14ac:dyDescent="0.35">
      <c r="A382" s="1">
        <v>118</v>
      </c>
      <c r="B382" s="5">
        <v>93.07</v>
      </c>
      <c r="C382" s="5">
        <v>130.32</v>
      </c>
      <c r="D382" s="5">
        <v>236.88</v>
      </c>
      <c r="E382" s="5">
        <v>282.67</v>
      </c>
      <c r="F382" s="5">
        <v>288.61</v>
      </c>
      <c r="G382" s="5">
        <v>346.07</v>
      </c>
      <c r="H382" s="5">
        <v>361.41</v>
      </c>
      <c r="I382" s="5">
        <v>387.45</v>
      </c>
      <c r="J382" s="5">
        <v>229.96</v>
      </c>
      <c r="K382" s="5">
        <v>229.96</v>
      </c>
      <c r="L382" s="5">
        <v>229.96</v>
      </c>
      <c r="M382" s="5">
        <v>229.96</v>
      </c>
    </row>
    <row r="383" spans="1:13" ht="15" customHeight="1" x14ac:dyDescent="0.35">
      <c r="A383" s="1">
        <v>119</v>
      </c>
      <c r="B383" s="5">
        <v>93.86</v>
      </c>
      <c r="C383" s="5">
        <v>131.41999999999999</v>
      </c>
      <c r="D383" s="5">
        <v>238.88</v>
      </c>
      <c r="E383" s="5">
        <v>285.07</v>
      </c>
      <c r="F383" s="5">
        <v>291.05</v>
      </c>
      <c r="G383" s="5">
        <v>349</v>
      </c>
      <c r="H383" s="5">
        <v>364.47</v>
      </c>
      <c r="I383" s="5">
        <v>390.72</v>
      </c>
      <c r="J383" s="5">
        <v>231.91</v>
      </c>
      <c r="K383" s="5">
        <v>231.91</v>
      </c>
      <c r="L383" s="5">
        <v>231.91</v>
      </c>
      <c r="M383" s="5">
        <v>231.91</v>
      </c>
    </row>
    <row r="384" spans="1:13" ht="15" customHeight="1" x14ac:dyDescent="0.35">
      <c r="A384" s="1">
        <v>120</v>
      </c>
      <c r="B384" s="5">
        <v>94.64</v>
      </c>
      <c r="C384" s="5">
        <v>132.53</v>
      </c>
      <c r="D384" s="5">
        <v>240.89</v>
      </c>
      <c r="E384" s="5">
        <v>287.45999999999998</v>
      </c>
      <c r="F384" s="5">
        <v>293.5</v>
      </c>
      <c r="G384" s="5">
        <v>351.94</v>
      </c>
      <c r="H384" s="5">
        <v>367.54</v>
      </c>
      <c r="I384" s="5">
        <v>394.01</v>
      </c>
      <c r="J384" s="5">
        <v>233.85</v>
      </c>
      <c r="K384" s="5">
        <v>233.85</v>
      </c>
      <c r="L384" s="5">
        <v>233.85</v>
      </c>
      <c r="M384" s="5">
        <v>233.85</v>
      </c>
    </row>
    <row r="385" spans="1:13" ht="15" customHeight="1" x14ac:dyDescent="0.35">
      <c r="A385" s="1">
        <v>121</v>
      </c>
      <c r="B385" s="5">
        <v>95.43</v>
      </c>
      <c r="C385" s="5">
        <v>133.63</v>
      </c>
      <c r="D385" s="5">
        <v>242.9</v>
      </c>
      <c r="E385" s="5">
        <v>289.86</v>
      </c>
      <c r="F385" s="5">
        <v>295.94</v>
      </c>
      <c r="G385" s="5">
        <v>354.87</v>
      </c>
      <c r="H385" s="5">
        <v>370.6</v>
      </c>
      <c r="I385" s="5">
        <v>397.29</v>
      </c>
      <c r="J385" s="5">
        <v>235.81</v>
      </c>
      <c r="K385" s="5">
        <v>235.81</v>
      </c>
      <c r="L385" s="5">
        <v>235.81</v>
      </c>
      <c r="M385" s="5">
        <v>235.81</v>
      </c>
    </row>
    <row r="386" spans="1:13" ht="15" customHeight="1" x14ac:dyDescent="0.35">
      <c r="A386" s="1">
        <v>122</v>
      </c>
      <c r="B386" s="5">
        <v>96.22</v>
      </c>
      <c r="C386" s="5">
        <v>134.74</v>
      </c>
      <c r="D386" s="5">
        <v>244.91</v>
      </c>
      <c r="E386" s="5">
        <v>292.26</v>
      </c>
      <c r="F386" s="5">
        <v>298.39</v>
      </c>
      <c r="G386" s="5">
        <v>357.8</v>
      </c>
      <c r="H386" s="5">
        <v>373.66</v>
      </c>
      <c r="I386" s="5">
        <v>400.57</v>
      </c>
      <c r="J386" s="5">
        <v>237.76</v>
      </c>
      <c r="K386" s="5">
        <v>237.76</v>
      </c>
      <c r="L386" s="5">
        <v>237.76</v>
      </c>
      <c r="M386" s="5">
        <v>237.76</v>
      </c>
    </row>
    <row r="387" spans="1:13" ht="15" customHeight="1" x14ac:dyDescent="0.35">
      <c r="A387" s="1">
        <v>123</v>
      </c>
      <c r="B387" s="5">
        <v>97.01</v>
      </c>
      <c r="C387" s="5">
        <v>135.84</v>
      </c>
      <c r="D387" s="5">
        <v>246.92</v>
      </c>
      <c r="E387" s="5">
        <v>294.64999999999998</v>
      </c>
      <c r="F387" s="5">
        <v>300.83999999999997</v>
      </c>
      <c r="G387" s="5">
        <v>360.73</v>
      </c>
      <c r="H387" s="5">
        <v>376.73</v>
      </c>
      <c r="I387" s="5">
        <v>403.86</v>
      </c>
      <c r="J387" s="5">
        <v>239.7</v>
      </c>
      <c r="K387" s="5">
        <v>239.7</v>
      </c>
      <c r="L387" s="5">
        <v>239.7</v>
      </c>
      <c r="M387" s="5">
        <v>239.7</v>
      </c>
    </row>
    <row r="388" spans="1:13" ht="15" customHeight="1" x14ac:dyDescent="0.35">
      <c r="A388" s="1">
        <v>124</v>
      </c>
      <c r="B388" s="5">
        <v>97.8</v>
      </c>
      <c r="C388" s="5">
        <v>136.94999999999999</v>
      </c>
      <c r="D388" s="5">
        <v>248.93</v>
      </c>
      <c r="E388" s="5">
        <v>297.05</v>
      </c>
      <c r="F388" s="5">
        <v>303.27</v>
      </c>
      <c r="G388" s="5">
        <v>363.67</v>
      </c>
      <c r="H388" s="5">
        <v>379.79</v>
      </c>
      <c r="I388" s="5">
        <v>407.14</v>
      </c>
      <c r="J388" s="5">
        <v>241.65</v>
      </c>
      <c r="K388" s="5">
        <v>241.65</v>
      </c>
      <c r="L388" s="5">
        <v>241.65</v>
      </c>
      <c r="M388" s="5">
        <v>241.65</v>
      </c>
    </row>
    <row r="389" spans="1:13" ht="15" customHeight="1" x14ac:dyDescent="0.35">
      <c r="A389" s="1">
        <v>125</v>
      </c>
      <c r="B389" s="5">
        <v>98.59</v>
      </c>
      <c r="C389" s="5">
        <v>138.05000000000001</v>
      </c>
      <c r="D389" s="5">
        <v>250.93</v>
      </c>
      <c r="E389" s="5">
        <v>299.44</v>
      </c>
      <c r="F389" s="5">
        <v>305.72000000000003</v>
      </c>
      <c r="G389" s="5">
        <v>366.6</v>
      </c>
      <c r="H389" s="5">
        <v>382.85</v>
      </c>
      <c r="I389" s="5">
        <v>410.42</v>
      </c>
      <c r="J389" s="5">
        <v>243.6</v>
      </c>
      <c r="K389" s="5">
        <v>243.6</v>
      </c>
      <c r="L389" s="5">
        <v>243.6</v>
      </c>
      <c r="M389" s="5">
        <v>243.6</v>
      </c>
    </row>
    <row r="390" spans="1:13" ht="15" customHeight="1" x14ac:dyDescent="0.35">
      <c r="A390" s="1">
        <v>126</v>
      </c>
      <c r="B390" s="5">
        <v>99.38</v>
      </c>
      <c r="C390" s="5">
        <v>139.15</v>
      </c>
      <c r="D390" s="5">
        <v>252.94</v>
      </c>
      <c r="E390" s="5">
        <v>301.83999999999997</v>
      </c>
      <c r="F390" s="5">
        <v>308.17</v>
      </c>
      <c r="G390" s="5">
        <v>369.53</v>
      </c>
      <c r="H390" s="5">
        <v>385.92</v>
      </c>
      <c r="I390" s="5">
        <v>413.71</v>
      </c>
      <c r="J390" s="5">
        <v>245.55</v>
      </c>
      <c r="K390" s="5">
        <v>245.55</v>
      </c>
      <c r="L390" s="5">
        <v>245.55</v>
      </c>
      <c r="M390" s="5">
        <v>245.55</v>
      </c>
    </row>
    <row r="391" spans="1:13" ht="15" customHeight="1" x14ac:dyDescent="0.35">
      <c r="A391" s="1">
        <v>127</v>
      </c>
      <c r="B391" s="5">
        <v>100.16</v>
      </c>
      <c r="C391" s="5">
        <v>140.26</v>
      </c>
      <c r="D391" s="5">
        <v>254.95</v>
      </c>
      <c r="E391" s="5">
        <v>304.24</v>
      </c>
      <c r="F391" s="5">
        <v>310.61</v>
      </c>
      <c r="G391" s="5">
        <v>372.47</v>
      </c>
      <c r="H391" s="5">
        <v>388.98</v>
      </c>
      <c r="I391" s="5">
        <v>416.99</v>
      </c>
      <c r="J391" s="5">
        <v>247.5</v>
      </c>
      <c r="K391" s="5">
        <v>247.5</v>
      </c>
      <c r="L391" s="5">
        <v>247.5</v>
      </c>
      <c r="M391" s="5">
        <v>247.5</v>
      </c>
    </row>
    <row r="392" spans="1:13" ht="15" customHeight="1" x14ac:dyDescent="0.35">
      <c r="A392" s="1">
        <v>128</v>
      </c>
      <c r="B392" s="5">
        <v>100.95</v>
      </c>
      <c r="C392" s="5">
        <v>141.36000000000001</v>
      </c>
      <c r="D392" s="5">
        <v>256.95</v>
      </c>
      <c r="E392" s="5">
        <v>306.63</v>
      </c>
      <c r="F392" s="5">
        <v>313.06</v>
      </c>
      <c r="G392" s="5">
        <v>375.4</v>
      </c>
      <c r="H392" s="5">
        <v>392.04</v>
      </c>
      <c r="I392" s="5">
        <v>420.27</v>
      </c>
      <c r="J392" s="5">
        <v>249.45</v>
      </c>
      <c r="K392" s="5">
        <v>249.45</v>
      </c>
      <c r="L392" s="5">
        <v>249.45</v>
      </c>
      <c r="M392" s="5">
        <v>249.45</v>
      </c>
    </row>
    <row r="393" spans="1:13" ht="15" customHeight="1" x14ac:dyDescent="0.35">
      <c r="A393" s="1">
        <v>129</v>
      </c>
      <c r="B393" s="5">
        <v>101.74</v>
      </c>
      <c r="C393" s="5">
        <v>142.47</v>
      </c>
      <c r="D393" s="5">
        <v>258.95999999999998</v>
      </c>
      <c r="E393" s="5">
        <v>309.02</v>
      </c>
      <c r="F393" s="5">
        <v>315.51</v>
      </c>
      <c r="G393" s="5">
        <v>378.33</v>
      </c>
      <c r="H393" s="5">
        <v>395.11</v>
      </c>
      <c r="I393" s="5">
        <v>423.56</v>
      </c>
      <c r="J393" s="5">
        <v>251.39</v>
      </c>
      <c r="K393" s="5">
        <v>251.39</v>
      </c>
      <c r="L393" s="5">
        <v>251.39</v>
      </c>
      <c r="M393" s="5">
        <v>251.39</v>
      </c>
    </row>
    <row r="394" spans="1:13" ht="15" customHeight="1" x14ac:dyDescent="0.35">
      <c r="A394" s="1">
        <v>130</v>
      </c>
      <c r="B394" s="5">
        <v>102.53</v>
      </c>
      <c r="C394" s="5">
        <v>143.57</v>
      </c>
      <c r="D394" s="5">
        <v>260.97000000000003</v>
      </c>
      <c r="E394" s="5">
        <v>311.42</v>
      </c>
      <c r="F394" s="5">
        <v>317.95</v>
      </c>
      <c r="G394" s="5">
        <v>381.26</v>
      </c>
      <c r="H394" s="5">
        <v>398.17</v>
      </c>
      <c r="I394" s="5">
        <v>426.84</v>
      </c>
      <c r="J394" s="5">
        <v>253.35</v>
      </c>
      <c r="K394" s="5">
        <v>253.35</v>
      </c>
      <c r="L394" s="5">
        <v>253.35</v>
      </c>
      <c r="M394" s="5">
        <v>253.35</v>
      </c>
    </row>
    <row r="395" spans="1:13" ht="15" customHeight="1" x14ac:dyDescent="0.35">
      <c r="A395" s="1">
        <v>131</v>
      </c>
      <c r="B395" s="5">
        <v>103.32</v>
      </c>
      <c r="C395" s="5">
        <v>144.68</v>
      </c>
      <c r="D395" s="5">
        <v>262.97000000000003</v>
      </c>
      <c r="E395" s="5">
        <v>313.81</v>
      </c>
      <c r="F395" s="5">
        <v>320.39999999999998</v>
      </c>
      <c r="G395" s="5">
        <v>384.2</v>
      </c>
      <c r="H395" s="5">
        <v>401.23</v>
      </c>
      <c r="I395" s="5">
        <v>430.13</v>
      </c>
      <c r="J395" s="5">
        <v>255.3</v>
      </c>
      <c r="K395" s="5">
        <v>255.3</v>
      </c>
      <c r="L395" s="5">
        <v>255.3</v>
      </c>
      <c r="M395" s="5">
        <v>255.3</v>
      </c>
    </row>
    <row r="396" spans="1:13" ht="15" customHeight="1" x14ac:dyDescent="0.35">
      <c r="A396" s="1">
        <v>132</v>
      </c>
      <c r="B396" s="5">
        <v>104.11</v>
      </c>
      <c r="C396" s="5">
        <v>145.78</v>
      </c>
      <c r="D396" s="5">
        <v>264.98</v>
      </c>
      <c r="E396" s="5">
        <v>316.20999999999998</v>
      </c>
      <c r="F396" s="5">
        <v>322.83999999999997</v>
      </c>
      <c r="G396" s="5">
        <v>387.13</v>
      </c>
      <c r="H396" s="5">
        <v>404.3</v>
      </c>
      <c r="I396" s="5">
        <v>433.4</v>
      </c>
      <c r="J396" s="5">
        <v>257.24</v>
      </c>
      <c r="K396" s="5">
        <v>257.24</v>
      </c>
      <c r="L396" s="5">
        <v>257.24</v>
      </c>
      <c r="M396" s="5">
        <v>257.24</v>
      </c>
    </row>
    <row r="397" spans="1:13" ht="15" customHeight="1" x14ac:dyDescent="0.35">
      <c r="A397" s="1">
        <v>133</v>
      </c>
      <c r="B397" s="5">
        <v>104.9</v>
      </c>
      <c r="C397" s="5">
        <v>146.88999999999999</v>
      </c>
      <c r="D397" s="5">
        <v>266.99</v>
      </c>
      <c r="E397" s="5">
        <v>318.60000000000002</v>
      </c>
      <c r="F397" s="5">
        <v>325.29000000000002</v>
      </c>
      <c r="G397" s="5">
        <v>390.06</v>
      </c>
      <c r="H397" s="5">
        <v>407.36</v>
      </c>
      <c r="I397" s="5">
        <v>436.69</v>
      </c>
      <c r="J397" s="5">
        <v>259.19</v>
      </c>
      <c r="K397" s="5">
        <v>259.19</v>
      </c>
      <c r="L397" s="5">
        <v>259.19</v>
      </c>
      <c r="M397" s="5">
        <v>259.19</v>
      </c>
    </row>
    <row r="398" spans="1:13" ht="15" customHeight="1" x14ac:dyDescent="0.35">
      <c r="A398" s="1">
        <v>134</v>
      </c>
      <c r="B398" s="5">
        <v>105.69</v>
      </c>
      <c r="C398" s="5">
        <v>147.99</v>
      </c>
      <c r="D398" s="5">
        <v>269</v>
      </c>
      <c r="E398" s="5">
        <v>321</v>
      </c>
      <c r="F398" s="5">
        <v>327.74</v>
      </c>
      <c r="G398" s="5">
        <v>393</v>
      </c>
      <c r="H398" s="5">
        <v>410.42</v>
      </c>
      <c r="I398" s="5">
        <v>439.98</v>
      </c>
      <c r="J398" s="5">
        <v>261.14</v>
      </c>
      <c r="K398" s="5">
        <v>261.14</v>
      </c>
      <c r="L398" s="5">
        <v>261.14</v>
      </c>
      <c r="M398" s="5">
        <v>261.14</v>
      </c>
    </row>
    <row r="399" spans="1:13" ht="15" customHeight="1" x14ac:dyDescent="0.35">
      <c r="A399" s="1">
        <v>135</v>
      </c>
      <c r="B399" s="5">
        <v>106.47</v>
      </c>
      <c r="C399" s="5">
        <v>149.09</v>
      </c>
      <c r="D399" s="5">
        <v>271.01</v>
      </c>
      <c r="E399" s="5">
        <v>323.39999999999998</v>
      </c>
      <c r="F399" s="5">
        <v>330.18</v>
      </c>
      <c r="G399" s="5">
        <v>395.93</v>
      </c>
      <c r="H399" s="5">
        <v>413.49</v>
      </c>
      <c r="I399" s="5">
        <v>443.25</v>
      </c>
      <c r="J399" s="5">
        <v>263.08999999999997</v>
      </c>
      <c r="K399" s="5">
        <v>263.08999999999997</v>
      </c>
      <c r="L399" s="5">
        <v>263.08999999999997</v>
      </c>
      <c r="M399" s="5">
        <v>263.08999999999997</v>
      </c>
    </row>
    <row r="400" spans="1:13" ht="15" customHeight="1" x14ac:dyDescent="0.35">
      <c r="A400" s="1">
        <v>136</v>
      </c>
      <c r="B400" s="5">
        <v>107.26</v>
      </c>
      <c r="C400" s="5">
        <v>150.19999999999999</v>
      </c>
      <c r="D400" s="5">
        <v>273.02</v>
      </c>
      <c r="E400" s="5">
        <v>325.79000000000002</v>
      </c>
      <c r="F400" s="5">
        <v>332.63</v>
      </c>
      <c r="G400" s="5">
        <v>398.86</v>
      </c>
      <c r="H400" s="5">
        <v>416.55</v>
      </c>
      <c r="I400" s="5">
        <v>446.54</v>
      </c>
      <c r="J400" s="5">
        <v>265.04000000000002</v>
      </c>
      <c r="K400" s="5">
        <v>265.04000000000002</v>
      </c>
      <c r="L400" s="5">
        <v>265.04000000000002</v>
      </c>
      <c r="M400" s="5">
        <v>265.04000000000002</v>
      </c>
    </row>
    <row r="401" spans="1:13" ht="15" customHeight="1" x14ac:dyDescent="0.35">
      <c r="A401" s="1">
        <v>137</v>
      </c>
      <c r="B401" s="5">
        <v>108.05</v>
      </c>
      <c r="C401" s="5">
        <v>151.30000000000001</v>
      </c>
      <c r="D401" s="5">
        <v>275.02</v>
      </c>
      <c r="E401" s="5">
        <v>328.19</v>
      </c>
      <c r="F401" s="5">
        <v>335.08</v>
      </c>
      <c r="G401" s="5">
        <v>401.79</v>
      </c>
      <c r="H401" s="5">
        <v>419.6</v>
      </c>
      <c r="I401" s="5">
        <v>449.83</v>
      </c>
      <c r="J401" s="5">
        <v>266.99</v>
      </c>
      <c r="K401" s="5">
        <v>266.99</v>
      </c>
      <c r="L401" s="5">
        <v>266.99</v>
      </c>
      <c r="M401" s="5">
        <v>266.99</v>
      </c>
    </row>
    <row r="402" spans="1:13" ht="15" customHeight="1" x14ac:dyDescent="0.35">
      <c r="A402" s="1">
        <v>138</v>
      </c>
      <c r="B402" s="5">
        <v>108.84</v>
      </c>
      <c r="C402" s="5">
        <v>152.41</v>
      </c>
      <c r="D402" s="5">
        <v>277.02999999999997</v>
      </c>
      <c r="E402" s="5">
        <v>330.59</v>
      </c>
      <c r="F402" s="5">
        <v>337.52</v>
      </c>
      <c r="G402" s="5">
        <v>404.73</v>
      </c>
      <c r="H402" s="5">
        <v>422.67</v>
      </c>
      <c r="I402" s="5">
        <v>453.1</v>
      </c>
      <c r="J402" s="5">
        <v>268.93</v>
      </c>
      <c r="K402" s="5">
        <v>268.93</v>
      </c>
      <c r="L402" s="5">
        <v>268.93</v>
      </c>
      <c r="M402" s="5">
        <v>268.93</v>
      </c>
    </row>
    <row r="403" spans="1:13" ht="15" customHeight="1" x14ac:dyDescent="0.35">
      <c r="A403" s="1">
        <v>139</v>
      </c>
      <c r="B403" s="5">
        <v>109.63</v>
      </c>
      <c r="C403" s="5">
        <v>153.51</v>
      </c>
      <c r="D403" s="5">
        <v>279.02999999999997</v>
      </c>
      <c r="E403" s="5">
        <v>332.98</v>
      </c>
      <c r="F403" s="5">
        <v>339.97</v>
      </c>
      <c r="G403" s="5">
        <v>407.66</v>
      </c>
      <c r="H403" s="5">
        <v>425.73</v>
      </c>
      <c r="I403" s="5">
        <v>456.39</v>
      </c>
      <c r="J403" s="5">
        <v>270.89</v>
      </c>
      <c r="K403" s="5">
        <v>270.89</v>
      </c>
      <c r="L403" s="5">
        <v>270.89</v>
      </c>
      <c r="M403" s="5">
        <v>270.89</v>
      </c>
    </row>
    <row r="404" spans="1:13" ht="15" customHeight="1" x14ac:dyDescent="0.35">
      <c r="A404" s="1">
        <v>140</v>
      </c>
      <c r="B404" s="5">
        <v>110.42</v>
      </c>
      <c r="C404" s="5">
        <v>154.62</v>
      </c>
      <c r="D404" s="5">
        <v>281.04000000000002</v>
      </c>
      <c r="E404" s="5">
        <v>335.38</v>
      </c>
      <c r="F404" s="5">
        <v>342.41</v>
      </c>
      <c r="G404" s="5">
        <v>410.59</v>
      </c>
      <c r="H404" s="5">
        <v>428.79</v>
      </c>
      <c r="I404" s="5">
        <v>459.68</v>
      </c>
      <c r="J404" s="5">
        <v>272.83999999999997</v>
      </c>
      <c r="K404" s="5">
        <v>272.83999999999997</v>
      </c>
      <c r="L404" s="5">
        <v>272.83999999999997</v>
      </c>
      <c r="M404" s="5">
        <v>272.83999999999997</v>
      </c>
    </row>
    <row r="405" spans="1:13" ht="15" customHeight="1" x14ac:dyDescent="0.35">
      <c r="A405" s="1">
        <v>141</v>
      </c>
      <c r="B405" s="5">
        <v>111.21</v>
      </c>
      <c r="C405" s="5">
        <v>155.72</v>
      </c>
      <c r="D405" s="5">
        <v>283.05</v>
      </c>
      <c r="E405" s="5">
        <v>337.77</v>
      </c>
      <c r="F405" s="5">
        <v>344.85</v>
      </c>
      <c r="G405" s="5">
        <v>413.52</v>
      </c>
      <c r="H405" s="5">
        <v>431.86</v>
      </c>
      <c r="I405" s="5">
        <v>462.96</v>
      </c>
      <c r="J405" s="5">
        <v>274.77999999999997</v>
      </c>
      <c r="K405" s="5">
        <v>274.77999999999997</v>
      </c>
      <c r="L405" s="5">
        <v>274.77999999999997</v>
      </c>
      <c r="M405" s="5">
        <v>274.77999999999997</v>
      </c>
    </row>
    <row r="406" spans="1:13" ht="15" customHeight="1" x14ac:dyDescent="0.35">
      <c r="A406" s="1">
        <v>142</v>
      </c>
      <c r="B406" s="5">
        <v>112</v>
      </c>
      <c r="C406" s="5">
        <v>156.82</v>
      </c>
      <c r="D406" s="5">
        <v>285.06</v>
      </c>
      <c r="E406" s="5">
        <v>340.17</v>
      </c>
      <c r="F406" s="5">
        <v>347.3</v>
      </c>
      <c r="G406" s="5">
        <v>416.46</v>
      </c>
      <c r="H406" s="5">
        <v>434.92</v>
      </c>
      <c r="I406" s="5">
        <v>466.24</v>
      </c>
      <c r="J406" s="5">
        <v>276.73</v>
      </c>
      <c r="K406" s="5">
        <v>276.73</v>
      </c>
      <c r="L406" s="5">
        <v>276.73</v>
      </c>
      <c r="M406" s="5">
        <v>276.73</v>
      </c>
    </row>
    <row r="407" spans="1:13" ht="15" customHeight="1" x14ac:dyDescent="0.35">
      <c r="A407" s="1">
        <v>143</v>
      </c>
      <c r="B407" s="5">
        <v>112.78</v>
      </c>
      <c r="C407" s="5">
        <v>157.93</v>
      </c>
      <c r="D407" s="5">
        <v>287.06</v>
      </c>
      <c r="E407" s="5">
        <v>342.57</v>
      </c>
      <c r="F407" s="5">
        <v>349.75</v>
      </c>
      <c r="G407" s="5">
        <v>419.39</v>
      </c>
      <c r="H407" s="5">
        <v>437.98</v>
      </c>
      <c r="I407" s="5">
        <v>469.53</v>
      </c>
      <c r="J407" s="5">
        <v>278.68</v>
      </c>
      <c r="K407" s="5">
        <v>278.68</v>
      </c>
      <c r="L407" s="5">
        <v>278.68</v>
      </c>
      <c r="M407" s="5">
        <v>278.68</v>
      </c>
    </row>
    <row r="408" spans="1:13" ht="15" customHeight="1" x14ac:dyDescent="0.35">
      <c r="A408" s="1">
        <v>144</v>
      </c>
      <c r="B408" s="5">
        <v>113.57</v>
      </c>
      <c r="C408" s="5">
        <v>159.03</v>
      </c>
      <c r="D408" s="5">
        <v>289.07</v>
      </c>
      <c r="E408" s="5">
        <v>344.95</v>
      </c>
      <c r="F408" s="5">
        <v>352.19</v>
      </c>
      <c r="G408" s="5">
        <v>422.32</v>
      </c>
      <c r="H408" s="5">
        <v>441.05</v>
      </c>
      <c r="I408" s="5">
        <v>472.81</v>
      </c>
      <c r="J408" s="5">
        <v>280.63</v>
      </c>
      <c r="K408" s="5">
        <v>280.63</v>
      </c>
      <c r="L408" s="5">
        <v>280.63</v>
      </c>
      <c r="M408" s="5">
        <v>280.63</v>
      </c>
    </row>
    <row r="409" spans="1:13" ht="15" customHeight="1" x14ac:dyDescent="0.35">
      <c r="A409" s="1">
        <v>145</v>
      </c>
      <c r="B409" s="5">
        <v>114.36</v>
      </c>
      <c r="C409" s="5">
        <v>160.13999999999999</v>
      </c>
      <c r="D409" s="5">
        <v>291.08</v>
      </c>
      <c r="E409" s="5">
        <v>347.35</v>
      </c>
      <c r="F409" s="5">
        <v>354.64</v>
      </c>
      <c r="G409" s="5">
        <v>425.26</v>
      </c>
      <c r="H409" s="5">
        <v>444.11</v>
      </c>
      <c r="I409" s="5">
        <v>476.09</v>
      </c>
      <c r="J409" s="5">
        <v>282.58</v>
      </c>
      <c r="K409" s="5">
        <v>282.58</v>
      </c>
      <c r="L409" s="5">
        <v>282.58</v>
      </c>
      <c r="M409" s="5">
        <v>282.58</v>
      </c>
    </row>
    <row r="410" spans="1:13" ht="15" customHeight="1" x14ac:dyDescent="0.35">
      <c r="A410" s="1">
        <v>146</v>
      </c>
      <c r="B410" s="5">
        <v>115.15</v>
      </c>
      <c r="C410" s="5">
        <v>161.24</v>
      </c>
      <c r="D410" s="5">
        <v>293.08999999999997</v>
      </c>
      <c r="E410" s="5">
        <v>349.75</v>
      </c>
      <c r="F410" s="5">
        <v>357.08</v>
      </c>
      <c r="G410" s="5">
        <v>428.19</v>
      </c>
      <c r="H410" s="5">
        <v>447.17</v>
      </c>
      <c r="I410" s="5">
        <v>479.37</v>
      </c>
      <c r="J410" s="5">
        <v>284.52999999999997</v>
      </c>
      <c r="K410" s="5">
        <v>284.52999999999997</v>
      </c>
      <c r="L410" s="5">
        <v>284.52999999999997</v>
      </c>
      <c r="M410" s="5">
        <v>284.52999999999997</v>
      </c>
    </row>
    <row r="411" spans="1:13" ht="15" customHeight="1" x14ac:dyDescent="0.35">
      <c r="A411" s="1">
        <v>147</v>
      </c>
      <c r="B411" s="5">
        <v>115.94</v>
      </c>
      <c r="C411" s="5">
        <v>162.35</v>
      </c>
      <c r="D411" s="5">
        <v>295.10000000000002</v>
      </c>
      <c r="E411" s="5">
        <v>352.14</v>
      </c>
      <c r="F411" s="5">
        <v>359.53</v>
      </c>
      <c r="G411" s="5">
        <v>431.12</v>
      </c>
      <c r="H411" s="5">
        <v>450.24</v>
      </c>
      <c r="I411" s="5">
        <v>482.66</v>
      </c>
      <c r="J411" s="5">
        <v>286.47000000000003</v>
      </c>
      <c r="K411" s="5">
        <v>286.47000000000003</v>
      </c>
      <c r="L411" s="5">
        <v>286.47000000000003</v>
      </c>
      <c r="M411" s="5">
        <v>286.47000000000003</v>
      </c>
    </row>
    <row r="412" spans="1:13" ht="15" customHeight="1" x14ac:dyDescent="0.35">
      <c r="A412" s="1">
        <v>148</v>
      </c>
      <c r="B412" s="5">
        <v>116.73</v>
      </c>
      <c r="C412" s="5">
        <v>163.44999999999999</v>
      </c>
      <c r="D412" s="5">
        <v>297.11</v>
      </c>
      <c r="E412" s="5">
        <v>354.54</v>
      </c>
      <c r="F412" s="5">
        <v>361.98</v>
      </c>
      <c r="G412" s="5">
        <v>434.05</v>
      </c>
      <c r="H412" s="5">
        <v>453.3</v>
      </c>
      <c r="I412" s="5">
        <v>485.94</v>
      </c>
      <c r="J412" s="5">
        <v>288.43</v>
      </c>
      <c r="K412" s="5">
        <v>288.43</v>
      </c>
      <c r="L412" s="5">
        <v>288.43</v>
      </c>
      <c r="M412" s="5">
        <v>288.43</v>
      </c>
    </row>
    <row r="413" spans="1:13" ht="15" customHeight="1" x14ac:dyDescent="0.35">
      <c r="A413" s="1">
        <v>149</v>
      </c>
      <c r="B413" s="5">
        <v>117.52</v>
      </c>
      <c r="C413" s="5">
        <v>164.56</v>
      </c>
      <c r="D413" s="5">
        <v>299.11</v>
      </c>
      <c r="E413" s="5">
        <v>356.93</v>
      </c>
      <c r="F413" s="5">
        <v>364.42</v>
      </c>
      <c r="G413" s="5">
        <v>436.99</v>
      </c>
      <c r="H413" s="5">
        <v>456.36</v>
      </c>
      <c r="I413" s="5">
        <v>489.22</v>
      </c>
      <c r="J413" s="5">
        <v>290.38</v>
      </c>
      <c r="K413" s="5">
        <v>290.38</v>
      </c>
      <c r="L413" s="5">
        <v>290.38</v>
      </c>
      <c r="M413" s="5">
        <v>290.38</v>
      </c>
    </row>
    <row r="414" spans="1:13" ht="15" customHeight="1" x14ac:dyDescent="0.35">
      <c r="A414" s="1">
        <v>150</v>
      </c>
      <c r="B414" s="5">
        <v>118.3</v>
      </c>
      <c r="C414" s="5">
        <v>165.66</v>
      </c>
      <c r="D414" s="5">
        <v>301.11</v>
      </c>
      <c r="E414" s="5">
        <v>359.33</v>
      </c>
      <c r="F414" s="5">
        <v>366.87</v>
      </c>
      <c r="G414" s="5">
        <v>439.92</v>
      </c>
      <c r="H414" s="5">
        <v>459.42</v>
      </c>
      <c r="I414" s="5">
        <v>492.51</v>
      </c>
      <c r="J414" s="5">
        <v>292.32</v>
      </c>
      <c r="K414" s="5">
        <v>292.32</v>
      </c>
      <c r="L414" s="5">
        <v>292.32</v>
      </c>
      <c r="M414" s="5">
        <v>292.32</v>
      </c>
    </row>
    <row r="415" spans="1:13" ht="15" customHeight="1" x14ac:dyDescent="0.3">
      <c r="A415" s="1" t="s">
        <v>35</v>
      </c>
    </row>
    <row r="416" spans="1:13" ht="15" customHeight="1" x14ac:dyDescent="0.3">
      <c r="A416" s="1" t="s">
        <v>0</v>
      </c>
    </row>
    <row r="417" spans="1:13" ht="15" customHeight="1" x14ac:dyDescent="0.3">
      <c r="A417" s="1" t="s">
        <v>0</v>
      </c>
    </row>
    <row r="418" spans="1:13" ht="15" customHeight="1" x14ac:dyDescent="0.3">
      <c r="A418" s="1" t="s">
        <v>43</v>
      </c>
      <c r="B418" s="7" t="s">
        <v>25</v>
      </c>
      <c r="C418" s="7"/>
      <c r="D418" s="7"/>
      <c r="E418" s="7"/>
    </row>
    <row r="419" spans="1:13" ht="15" customHeight="1" x14ac:dyDescent="0.3">
      <c r="A419" s="1" t="s">
        <v>36</v>
      </c>
    </row>
    <row r="420" spans="1:13" ht="15" customHeight="1" x14ac:dyDescent="0.3">
      <c r="A420" s="1" t="s">
        <v>0</v>
      </c>
    </row>
    <row r="421" spans="1:13" ht="15" customHeight="1" x14ac:dyDescent="0.3">
      <c r="A421" s="1" t="s">
        <v>32</v>
      </c>
      <c r="B421" s="1" t="s">
        <v>33</v>
      </c>
    </row>
    <row r="422" spans="1:13" ht="15" customHeight="1" x14ac:dyDescent="0.35">
      <c r="A422" s="1" t="s">
        <v>34</v>
      </c>
      <c r="B422" s="2">
        <v>2</v>
      </c>
      <c r="C422" s="2">
        <v>3</v>
      </c>
      <c r="D422" s="2">
        <v>4</v>
      </c>
      <c r="E422" s="2">
        <v>5</v>
      </c>
      <c r="F422" s="2">
        <v>6</v>
      </c>
      <c r="G422" s="2">
        <v>7</v>
      </c>
      <c r="H422" s="2">
        <v>8</v>
      </c>
      <c r="I422" s="2">
        <v>9</v>
      </c>
      <c r="J422" s="2">
        <v>13</v>
      </c>
      <c r="K422" s="2">
        <v>14</v>
      </c>
      <c r="L422" s="2">
        <v>15</v>
      </c>
      <c r="M422" s="2">
        <v>16</v>
      </c>
    </row>
    <row r="423" spans="1:13" ht="15" customHeight="1" x14ac:dyDescent="0.35">
      <c r="A423" s="1" t="s">
        <v>37</v>
      </c>
      <c r="B423" s="5">
        <v>0.79</v>
      </c>
      <c r="C423" s="5">
        <v>1.1000000000000001</v>
      </c>
      <c r="D423" s="5">
        <v>2.0099999999999998</v>
      </c>
      <c r="E423" s="5">
        <v>2.4</v>
      </c>
      <c r="F423" s="5">
        <v>2.4500000000000002</v>
      </c>
      <c r="G423" s="5">
        <v>2.93</v>
      </c>
      <c r="H423" s="5">
        <v>3.06</v>
      </c>
      <c r="I423" s="5">
        <v>3.29</v>
      </c>
      <c r="J423" s="5">
        <v>1.95</v>
      </c>
      <c r="K423" s="5">
        <v>1.95</v>
      </c>
      <c r="L423" s="5">
        <v>1.95</v>
      </c>
      <c r="M423" s="5">
        <v>1.95</v>
      </c>
    </row>
    <row r="424" spans="1:13" ht="15" customHeight="1" x14ac:dyDescent="0.35">
      <c r="A424" s="1" t="s">
        <v>38</v>
      </c>
      <c r="B424" s="5">
        <v>0.79</v>
      </c>
      <c r="C424" s="5">
        <v>1.1000000000000001</v>
      </c>
      <c r="D424" s="5">
        <v>2.0099999999999998</v>
      </c>
      <c r="E424" s="5">
        <v>2.4</v>
      </c>
      <c r="F424" s="5">
        <v>2.4500000000000002</v>
      </c>
      <c r="G424" s="5">
        <v>2.93</v>
      </c>
      <c r="H424" s="5">
        <v>3.06</v>
      </c>
      <c r="I424" s="5">
        <v>3.29</v>
      </c>
      <c r="J424" s="5">
        <v>1.95</v>
      </c>
      <c r="K424" s="5">
        <v>1.95</v>
      </c>
      <c r="L424" s="5">
        <v>1.95</v>
      </c>
      <c r="M424" s="5">
        <v>1.95</v>
      </c>
    </row>
    <row r="425" spans="1:13" ht="15" customHeight="1" x14ac:dyDescent="0.35">
      <c r="A425" s="1" t="s">
        <v>39</v>
      </c>
      <c r="B425" s="5">
        <v>0.79</v>
      </c>
      <c r="C425" s="5">
        <v>1.1000000000000001</v>
      </c>
      <c r="D425" s="5">
        <v>2.0099999999999998</v>
      </c>
      <c r="E425" s="5">
        <v>2.4</v>
      </c>
      <c r="F425" s="5">
        <v>2.4500000000000002</v>
      </c>
      <c r="G425" s="5">
        <v>2.93</v>
      </c>
      <c r="H425" s="5">
        <v>3.06</v>
      </c>
      <c r="I425" s="5">
        <v>3.29</v>
      </c>
      <c r="J425" s="5">
        <v>1.95</v>
      </c>
      <c r="K425" s="5">
        <v>1.95</v>
      </c>
      <c r="L425" s="5">
        <v>1.95</v>
      </c>
      <c r="M425" s="5">
        <v>1.95</v>
      </c>
    </row>
    <row r="426" spans="1:13" ht="15" customHeight="1" x14ac:dyDescent="0.35">
      <c r="A426" s="1" t="s">
        <v>40</v>
      </c>
      <c r="B426" s="5">
        <v>0.78</v>
      </c>
      <c r="C426" s="5">
        <v>1.1000000000000001</v>
      </c>
      <c r="D426" s="5">
        <v>2</v>
      </c>
      <c r="E426" s="5">
        <v>2.39</v>
      </c>
      <c r="F426" s="5">
        <v>2.44</v>
      </c>
      <c r="G426" s="5">
        <v>2.94</v>
      </c>
      <c r="H426" s="5">
        <v>3.06</v>
      </c>
      <c r="I426" s="5">
        <v>3.28</v>
      </c>
      <c r="J426" s="5">
        <v>1.94</v>
      </c>
      <c r="K426" s="5">
        <v>1.94</v>
      </c>
      <c r="L426" s="5">
        <v>1.94</v>
      </c>
      <c r="M426" s="5">
        <v>1.94</v>
      </c>
    </row>
    <row r="427" spans="1:13" ht="15" customHeight="1" x14ac:dyDescent="0.35">
      <c r="A427" s="1" t="s">
        <v>41</v>
      </c>
      <c r="B427" s="5">
        <v>0.78</v>
      </c>
      <c r="C427" s="5">
        <v>1.1000000000000001</v>
      </c>
      <c r="D427" s="5">
        <v>1.99</v>
      </c>
      <c r="E427" s="5">
        <v>2.38</v>
      </c>
      <c r="F427" s="5">
        <v>2.4300000000000002</v>
      </c>
      <c r="G427" s="5">
        <v>2.93</v>
      </c>
      <c r="H427" s="5">
        <v>3.05</v>
      </c>
      <c r="I427" s="5">
        <v>3.27</v>
      </c>
      <c r="J427" s="5">
        <v>1.94</v>
      </c>
      <c r="K427" s="5">
        <v>1.94</v>
      </c>
      <c r="L427" s="5">
        <v>1.94</v>
      </c>
      <c r="M427" s="5">
        <v>1.94</v>
      </c>
    </row>
    <row r="428" spans="1:13" ht="15" customHeight="1" x14ac:dyDescent="0.35">
      <c r="A428" s="1" t="s">
        <v>42</v>
      </c>
      <c r="B428" s="5">
        <v>0.78</v>
      </c>
      <c r="C428" s="5">
        <v>1.0900000000000001</v>
      </c>
      <c r="D428" s="5">
        <v>1.99</v>
      </c>
      <c r="E428" s="5">
        <v>2.38</v>
      </c>
      <c r="F428" s="5">
        <v>2.4300000000000002</v>
      </c>
      <c r="G428" s="5">
        <v>2.92</v>
      </c>
      <c r="H428" s="5">
        <v>3.05</v>
      </c>
      <c r="I428" s="5">
        <v>3.26</v>
      </c>
      <c r="J428" s="5">
        <v>1.93</v>
      </c>
      <c r="K428" s="5">
        <v>1.93</v>
      </c>
      <c r="L428" s="5">
        <v>1.93</v>
      </c>
      <c r="M428" s="5">
        <v>1.93</v>
      </c>
    </row>
    <row r="430" spans="1:13" ht="15" customHeight="1" x14ac:dyDescent="0.3">
      <c r="A430" s="1" t="s">
        <v>35</v>
      </c>
    </row>
    <row r="433" spans="1:13" ht="15" customHeight="1" x14ac:dyDescent="0.3">
      <c r="A433" s="7" t="s">
        <v>0</v>
      </c>
      <c r="B433" s="7"/>
      <c r="C433" s="7"/>
      <c r="D433" s="7"/>
      <c r="E433" s="7"/>
    </row>
    <row r="434" spans="1:13" ht="15" customHeight="1" x14ac:dyDescent="0.35">
      <c r="A434" s="8" t="s">
        <v>44</v>
      </c>
      <c r="B434" s="8"/>
      <c r="C434" s="8"/>
      <c r="D434" s="8"/>
      <c r="E434" s="8"/>
      <c r="F434" s="8"/>
      <c r="G434" s="8"/>
      <c r="H434" s="7" t="s">
        <v>25</v>
      </c>
      <c r="I434" s="7"/>
      <c r="J434" s="7"/>
      <c r="K434" s="7"/>
    </row>
    <row r="438" spans="1:13" ht="15" customHeight="1" x14ac:dyDescent="0.3">
      <c r="A438" s="1" t="s">
        <v>26</v>
      </c>
    </row>
    <row r="439" spans="1:13" ht="15" customHeight="1" x14ac:dyDescent="0.3">
      <c r="A439" s="1" t="s">
        <v>0</v>
      </c>
    </row>
    <row r="440" spans="1:13" ht="15" customHeight="1" x14ac:dyDescent="0.3">
      <c r="A440" s="1" t="s">
        <v>0</v>
      </c>
    </row>
    <row r="441" spans="1:13" ht="15" customHeight="1" x14ac:dyDescent="0.3">
      <c r="A441" s="1" t="s">
        <v>27</v>
      </c>
      <c r="B441" s="1" t="s">
        <v>28</v>
      </c>
    </row>
    <row r="442" spans="1:13" ht="15" customHeight="1" x14ac:dyDescent="0.35">
      <c r="A442" s="1" t="s">
        <v>29</v>
      </c>
      <c r="B442" s="3">
        <v>0.11</v>
      </c>
    </row>
    <row r="443" spans="1:13" ht="15" customHeight="1" x14ac:dyDescent="0.35">
      <c r="A443" s="1" t="s">
        <v>30</v>
      </c>
      <c r="B443" s="3">
        <v>0.11</v>
      </c>
    </row>
    <row r="444" spans="1:13" ht="15" customHeight="1" x14ac:dyDescent="0.35">
      <c r="A444" s="1" t="s">
        <v>31</v>
      </c>
      <c r="B444" s="3">
        <v>0.11</v>
      </c>
    </row>
    <row r="446" spans="1:13" ht="15" customHeight="1" x14ac:dyDescent="0.35">
      <c r="A446" s="2" t="s">
        <v>32</v>
      </c>
      <c r="B446" s="8" t="s">
        <v>33</v>
      </c>
      <c r="C446" s="8"/>
    </row>
    <row r="447" spans="1:13" ht="15" customHeight="1" x14ac:dyDescent="0.35">
      <c r="A447" s="2" t="s">
        <v>34</v>
      </c>
      <c r="B447" s="2">
        <v>2</v>
      </c>
      <c r="C447" s="2">
        <v>3</v>
      </c>
      <c r="D447" s="2">
        <v>4</v>
      </c>
      <c r="E447" s="2">
        <v>5</v>
      </c>
      <c r="F447" s="2">
        <v>6</v>
      </c>
      <c r="G447" s="2">
        <v>7</v>
      </c>
      <c r="H447" s="2">
        <v>8</v>
      </c>
      <c r="I447" s="2">
        <v>9</v>
      </c>
      <c r="J447" s="2">
        <v>13</v>
      </c>
      <c r="K447" s="2">
        <v>14</v>
      </c>
      <c r="L447" s="2">
        <v>15</v>
      </c>
      <c r="M447" s="2">
        <v>16</v>
      </c>
    </row>
    <row r="448" spans="1:13" ht="15" customHeight="1" x14ac:dyDescent="0.3">
      <c r="A448" s="1" t="s">
        <v>29</v>
      </c>
    </row>
    <row r="449" spans="1:13" ht="15" customHeight="1" x14ac:dyDescent="0.35">
      <c r="A449" s="1" t="s">
        <v>0</v>
      </c>
      <c r="B449" s="4">
        <v>15.38</v>
      </c>
      <c r="C449" s="4">
        <v>15.38</v>
      </c>
      <c r="D449" s="4">
        <v>15.38</v>
      </c>
      <c r="E449" s="4">
        <v>15.38</v>
      </c>
      <c r="F449" s="5">
        <v>16.72</v>
      </c>
      <c r="G449" s="5">
        <v>18.66</v>
      </c>
      <c r="H449" s="5">
        <v>19.03</v>
      </c>
      <c r="I449" s="5">
        <v>28.18</v>
      </c>
      <c r="J449" s="5">
        <v>16.989999999999998</v>
      </c>
      <c r="K449" s="5">
        <v>16.989999999999998</v>
      </c>
      <c r="L449" s="5">
        <v>16.989999999999998</v>
      </c>
      <c r="M449" s="5">
        <v>16.989999999999998</v>
      </c>
    </row>
    <row r="450" spans="1:13" ht="15" customHeight="1" x14ac:dyDescent="0.3">
      <c r="A450" s="1" t="s">
        <v>31</v>
      </c>
    </row>
    <row r="451" spans="1:13" ht="15" customHeight="1" x14ac:dyDescent="0.35">
      <c r="A451" s="1">
        <v>1</v>
      </c>
      <c r="B451" s="4">
        <v>16.23</v>
      </c>
      <c r="C451" s="4">
        <v>16.23</v>
      </c>
      <c r="D451" s="4">
        <v>16.23</v>
      </c>
      <c r="E451" s="5">
        <v>16.75</v>
      </c>
      <c r="F451" s="5">
        <v>19.03</v>
      </c>
      <c r="G451" s="5">
        <v>20.3</v>
      </c>
      <c r="H451" s="5">
        <v>20.74</v>
      </c>
      <c r="I451" s="5">
        <v>29</v>
      </c>
      <c r="J451" s="5">
        <v>18.89</v>
      </c>
      <c r="K451" s="5">
        <v>18.89</v>
      </c>
      <c r="L451" s="5">
        <v>18.89</v>
      </c>
      <c r="M451" s="5">
        <v>18.89</v>
      </c>
    </row>
    <row r="452" spans="1:13" ht="15" customHeight="1" x14ac:dyDescent="0.35">
      <c r="A452" s="1">
        <v>2</v>
      </c>
      <c r="B452" s="4">
        <v>16.23</v>
      </c>
      <c r="C452" s="4">
        <v>16.23</v>
      </c>
      <c r="D452" s="4">
        <v>16.23</v>
      </c>
      <c r="E452" s="5">
        <v>17.850000000000001</v>
      </c>
      <c r="F452" s="5">
        <v>21.05</v>
      </c>
      <c r="G452" s="5">
        <v>23.4</v>
      </c>
      <c r="H452" s="5">
        <v>24.64</v>
      </c>
      <c r="I452" s="5">
        <v>32.380000000000003</v>
      </c>
      <c r="J452" s="5">
        <v>20.62</v>
      </c>
      <c r="K452" s="5">
        <v>20.62</v>
      </c>
      <c r="L452" s="5">
        <v>20.62</v>
      </c>
      <c r="M452" s="5">
        <v>20.62</v>
      </c>
    </row>
    <row r="453" spans="1:13" ht="15" customHeight="1" x14ac:dyDescent="0.3">
      <c r="A453" s="1" t="s">
        <v>30</v>
      </c>
    </row>
    <row r="454" spans="1:13" ht="15" customHeight="1" x14ac:dyDescent="0.35">
      <c r="A454" s="1">
        <v>1</v>
      </c>
      <c r="B454" s="4">
        <v>16.23</v>
      </c>
      <c r="C454" s="4">
        <v>16.23</v>
      </c>
      <c r="D454" s="4">
        <v>16.23</v>
      </c>
      <c r="E454" s="5">
        <v>16.75</v>
      </c>
      <c r="F454" s="5">
        <v>19.03</v>
      </c>
      <c r="G454" s="5">
        <v>20.3</v>
      </c>
      <c r="H454" s="5">
        <v>20.74</v>
      </c>
      <c r="I454" s="5">
        <v>29</v>
      </c>
      <c r="J454" s="5">
        <v>18.89</v>
      </c>
      <c r="K454" s="5">
        <v>18.89</v>
      </c>
      <c r="L454" s="5">
        <v>18.89</v>
      </c>
      <c r="M454" s="5">
        <v>18.89</v>
      </c>
    </row>
    <row r="455" spans="1:13" ht="15" customHeight="1" x14ac:dyDescent="0.35">
      <c r="A455" s="1">
        <v>2</v>
      </c>
      <c r="B455" s="4">
        <v>16.23</v>
      </c>
      <c r="C455" s="4">
        <v>16.23</v>
      </c>
      <c r="D455" s="4">
        <v>16.23</v>
      </c>
      <c r="E455" s="5">
        <v>17.850000000000001</v>
      </c>
      <c r="F455" s="5">
        <v>21.05</v>
      </c>
      <c r="G455" s="5">
        <v>23.4</v>
      </c>
      <c r="H455" s="5">
        <v>24.64</v>
      </c>
      <c r="I455" s="5">
        <v>32.380000000000003</v>
      </c>
      <c r="J455" s="5">
        <v>20.62</v>
      </c>
      <c r="K455" s="5">
        <v>20.62</v>
      </c>
      <c r="L455" s="5">
        <v>20.62</v>
      </c>
      <c r="M455" s="5">
        <v>20.62</v>
      </c>
    </row>
    <row r="456" spans="1:13" ht="15" customHeight="1" x14ac:dyDescent="0.35">
      <c r="A456" s="1">
        <v>3</v>
      </c>
      <c r="B456" s="4">
        <v>16.23</v>
      </c>
      <c r="C456" s="4">
        <v>16.23</v>
      </c>
      <c r="D456" s="4">
        <v>16.23</v>
      </c>
      <c r="E456" s="5">
        <v>19.66</v>
      </c>
      <c r="F456" s="5">
        <v>24.18</v>
      </c>
      <c r="G456" s="5">
        <v>27.1</v>
      </c>
      <c r="H456" s="5">
        <v>28.8</v>
      </c>
      <c r="I456" s="5">
        <v>37.57</v>
      </c>
      <c r="J456" s="5">
        <v>24.04</v>
      </c>
      <c r="K456" s="5">
        <v>24.04</v>
      </c>
      <c r="L456" s="5">
        <v>24.04</v>
      </c>
      <c r="M456" s="5">
        <v>24.04</v>
      </c>
    </row>
    <row r="457" spans="1:13" ht="15" customHeight="1" x14ac:dyDescent="0.35">
      <c r="A457" s="1">
        <v>4</v>
      </c>
      <c r="B457" s="4">
        <v>16.23</v>
      </c>
      <c r="C457" s="4">
        <v>16.23</v>
      </c>
      <c r="D457" s="4">
        <v>16.23</v>
      </c>
      <c r="E457" s="5">
        <v>22.97</v>
      </c>
      <c r="F457" s="5">
        <v>27.95</v>
      </c>
      <c r="G457" s="5">
        <v>31.53</v>
      </c>
      <c r="H457" s="5">
        <v>32.770000000000003</v>
      </c>
      <c r="I457" s="5">
        <v>40.11</v>
      </c>
      <c r="J457" s="5">
        <v>28.05</v>
      </c>
      <c r="K457" s="5">
        <v>28.05</v>
      </c>
      <c r="L457" s="5">
        <v>28.05</v>
      </c>
      <c r="M457" s="5">
        <v>28.05</v>
      </c>
    </row>
    <row r="458" spans="1:13" ht="15" customHeight="1" x14ac:dyDescent="0.35">
      <c r="A458" s="1">
        <v>5</v>
      </c>
      <c r="B458" s="4">
        <v>16.23</v>
      </c>
      <c r="C458" s="4">
        <v>16.23</v>
      </c>
      <c r="D458" s="5">
        <v>17.95</v>
      </c>
      <c r="E458" s="5">
        <v>25.5</v>
      </c>
      <c r="F458" s="5">
        <v>31.21</v>
      </c>
      <c r="G458" s="5">
        <v>35.11</v>
      </c>
      <c r="H458" s="5">
        <v>37.29</v>
      </c>
      <c r="I458" s="5">
        <v>42.81</v>
      </c>
      <c r="J458" s="5">
        <v>30.61</v>
      </c>
      <c r="K458" s="5">
        <v>30.61</v>
      </c>
      <c r="L458" s="5">
        <v>30.61</v>
      </c>
      <c r="M458" s="5">
        <v>30.61</v>
      </c>
    </row>
    <row r="459" spans="1:13" ht="15" customHeight="1" x14ac:dyDescent="0.35">
      <c r="A459" s="1">
        <v>6</v>
      </c>
      <c r="B459" s="4">
        <v>16.23</v>
      </c>
      <c r="C459" s="4">
        <v>16.23</v>
      </c>
      <c r="D459" s="5">
        <v>19.57</v>
      </c>
      <c r="E459" s="5">
        <v>27.85</v>
      </c>
      <c r="F459" s="5">
        <v>35.36</v>
      </c>
      <c r="G459" s="5">
        <v>38.99</v>
      </c>
      <c r="H459" s="5">
        <v>40.85</v>
      </c>
      <c r="I459" s="5">
        <v>45.53</v>
      </c>
      <c r="J459" s="5">
        <v>35.03</v>
      </c>
      <c r="K459" s="5">
        <v>35.03</v>
      </c>
      <c r="L459" s="5">
        <v>35.03</v>
      </c>
      <c r="M459" s="5">
        <v>35.03</v>
      </c>
    </row>
    <row r="460" spans="1:13" ht="15" customHeight="1" x14ac:dyDescent="0.35">
      <c r="A460" s="1">
        <v>7</v>
      </c>
      <c r="B460" s="4">
        <v>16.23</v>
      </c>
      <c r="C460" s="5">
        <v>16.829999999999998</v>
      </c>
      <c r="D460" s="5">
        <v>21.23</v>
      </c>
      <c r="E460" s="5">
        <v>30.42</v>
      </c>
      <c r="F460" s="5">
        <v>39.04</v>
      </c>
      <c r="G460" s="5">
        <v>43.32</v>
      </c>
      <c r="H460" s="5">
        <v>44.99</v>
      </c>
      <c r="I460" s="5">
        <v>50.96</v>
      </c>
      <c r="J460" s="5">
        <v>38.619999999999997</v>
      </c>
      <c r="K460" s="5">
        <v>38.619999999999997</v>
      </c>
      <c r="L460" s="5">
        <v>38.619999999999997</v>
      </c>
      <c r="M460" s="5">
        <v>38.619999999999997</v>
      </c>
    </row>
    <row r="461" spans="1:13" ht="15" customHeight="1" x14ac:dyDescent="0.35">
      <c r="A461" s="1">
        <v>8</v>
      </c>
      <c r="B461" s="4">
        <v>16.23</v>
      </c>
      <c r="C461" s="5">
        <v>18.2</v>
      </c>
      <c r="D461" s="5">
        <v>22.71</v>
      </c>
      <c r="E461" s="5">
        <v>33.200000000000003</v>
      </c>
      <c r="F461" s="5">
        <v>43.35</v>
      </c>
      <c r="G461" s="5">
        <v>47.73</v>
      </c>
      <c r="H461" s="5">
        <v>49.5</v>
      </c>
      <c r="I461" s="5">
        <v>51.52</v>
      </c>
      <c r="J461" s="5">
        <v>39.81</v>
      </c>
      <c r="K461" s="5">
        <v>39.81</v>
      </c>
      <c r="L461" s="5">
        <v>39.81</v>
      </c>
      <c r="M461" s="5">
        <v>39.81</v>
      </c>
    </row>
    <row r="462" spans="1:13" ht="15" customHeight="1" x14ac:dyDescent="0.35">
      <c r="A462" s="1">
        <v>9</v>
      </c>
      <c r="B462" s="4">
        <v>16.23</v>
      </c>
      <c r="C462" s="5">
        <v>19.61</v>
      </c>
      <c r="D462" s="5">
        <v>24.55</v>
      </c>
      <c r="E462" s="5">
        <v>35.65</v>
      </c>
      <c r="F462" s="5">
        <v>47.87</v>
      </c>
      <c r="G462" s="5">
        <v>51.38</v>
      </c>
      <c r="H462" s="5">
        <v>54.34</v>
      </c>
      <c r="I462" s="5">
        <v>60.2</v>
      </c>
      <c r="J462" s="5">
        <v>42.21</v>
      </c>
      <c r="K462" s="5">
        <v>42.21</v>
      </c>
      <c r="L462" s="5">
        <v>42.21</v>
      </c>
      <c r="M462" s="5">
        <v>42.21</v>
      </c>
    </row>
    <row r="463" spans="1:13" ht="15" customHeight="1" x14ac:dyDescent="0.35">
      <c r="A463" s="1">
        <v>10</v>
      </c>
      <c r="B463" s="4">
        <v>16.23</v>
      </c>
      <c r="C463" s="5">
        <v>20.28</v>
      </c>
      <c r="D463" s="5">
        <v>26.44</v>
      </c>
      <c r="E463" s="5">
        <v>38.08</v>
      </c>
      <c r="F463" s="5">
        <v>50.17</v>
      </c>
      <c r="G463" s="5">
        <v>55.89</v>
      </c>
      <c r="H463" s="5">
        <v>58.37</v>
      </c>
      <c r="I463" s="5">
        <v>65.31</v>
      </c>
      <c r="J463" s="5">
        <v>42.53</v>
      </c>
      <c r="K463" s="5">
        <v>42.53</v>
      </c>
      <c r="L463" s="5">
        <v>42.53</v>
      </c>
      <c r="M463" s="5">
        <v>42.53</v>
      </c>
    </row>
    <row r="464" spans="1:13" ht="15" customHeight="1" x14ac:dyDescent="0.35">
      <c r="A464" s="1">
        <v>11</v>
      </c>
      <c r="B464" s="4">
        <v>16.23</v>
      </c>
      <c r="C464" s="5">
        <v>19.34</v>
      </c>
      <c r="D464" s="5">
        <v>24.83</v>
      </c>
      <c r="E464" s="5">
        <v>35.520000000000003</v>
      </c>
      <c r="F464" s="5">
        <v>47.25</v>
      </c>
      <c r="G464" s="5">
        <v>53.49</v>
      </c>
      <c r="H464" s="5">
        <v>54.57</v>
      </c>
      <c r="I464" s="5">
        <v>64.16</v>
      </c>
      <c r="J464" s="5">
        <v>39.67</v>
      </c>
      <c r="K464" s="5">
        <v>39.67</v>
      </c>
      <c r="L464" s="5">
        <v>39.67</v>
      </c>
      <c r="M464" s="5">
        <v>39.67</v>
      </c>
    </row>
    <row r="465" spans="1:13" ht="15" customHeight="1" x14ac:dyDescent="0.35">
      <c r="A465" s="1">
        <v>12</v>
      </c>
      <c r="B465" s="5">
        <v>16.91</v>
      </c>
      <c r="C465" s="5">
        <v>21.6</v>
      </c>
      <c r="D465" s="5">
        <v>27.03</v>
      </c>
      <c r="E465" s="5">
        <v>40.21</v>
      </c>
      <c r="F465" s="5">
        <v>55.1</v>
      </c>
      <c r="G465" s="5">
        <v>60.65</v>
      </c>
      <c r="H465" s="5">
        <v>63.09</v>
      </c>
      <c r="I465" s="5">
        <v>65.260000000000005</v>
      </c>
      <c r="J465" s="5">
        <v>39.950000000000003</v>
      </c>
      <c r="K465" s="5">
        <v>39.950000000000003</v>
      </c>
      <c r="L465" s="5">
        <v>39.950000000000003</v>
      </c>
      <c r="M465" s="5">
        <v>39.950000000000003</v>
      </c>
    </row>
    <row r="466" spans="1:13" ht="15" customHeight="1" x14ac:dyDescent="0.35">
      <c r="A466" s="1">
        <v>13</v>
      </c>
      <c r="B466" s="5">
        <v>17.559999999999999</v>
      </c>
      <c r="C466" s="5">
        <v>22.2</v>
      </c>
      <c r="D466" s="5">
        <v>27.44</v>
      </c>
      <c r="E466" s="5">
        <v>42.24</v>
      </c>
      <c r="F466" s="5">
        <v>57.6</v>
      </c>
      <c r="G466" s="5">
        <v>62.44</v>
      </c>
      <c r="H466" s="5">
        <v>65.55</v>
      </c>
      <c r="I466" s="5">
        <v>67.58</v>
      </c>
      <c r="J466" s="5">
        <v>40.229999999999997</v>
      </c>
      <c r="K466" s="5">
        <v>40.229999999999997</v>
      </c>
      <c r="L466" s="5">
        <v>40.229999999999997</v>
      </c>
      <c r="M466" s="5">
        <v>40.229999999999997</v>
      </c>
    </row>
    <row r="467" spans="1:13" ht="15" customHeight="1" x14ac:dyDescent="0.35">
      <c r="A467" s="1">
        <v>14</v>
      </c>
      <c r="B467" s="5">
        <v>18.43</v>
      </c>
      <c r="C467" s="5">
        <v>23.18</v>
      </c>
      <c r="D467" s="5">
        <v>29.9</v>
      </c>
      <c r="E467" s="5">
        <v>44.67</v>
      </c>
      <c r="F467" s="5">
        <v>61.12</v>
      </c>
      <c r="G467" s="5">
        <v>66.27</v>
      </c>
      <c r="H467" s="5">
        <v>67.599999999999994</v>
      </c>
      <c r="I467" s="5">
        <v>71.53</v>
      </c>
      <c r="J467" s="5">
        <v>40.5</v>
      </c>
      <c r="K467" s="5">
        <v>40.5</v>
      </c>
      <c r="L467" s="5">
        <v>40.5</v>
      </c>
      <c r="M467" s="5">
        <v>40.5</v>
      </c>
    </row>
    <row r="468" spans="1:13" ht="15" customHeight="1" x14ac:dyDescent="0.35">
      <c r="A468" s="1">
        <v>15</v>
      </c>
      <c r="B468" s="5">
        <v>19.71</v>
      </c>
      <c r="C468" s="5">
        <v>24.47</v>
      </c>
      <c r="D468" s="5">
        <v>31.36</v>
      </c>
      <c r="E468" s="5">
        <v>46.4</v>
      </c>
      <c r="F468" s="5">
        <v>65.56</v>
      </c>
      <c r="G468" s="5">
        <v>68.66</v>
      </c>
      <c r="H468" s="5">
        <v>70.05</v>
      </c>
      <c r="I468" s="5">
        <v>72.12</v>
      </c>
      <c r="J468" s="5">
        <v>42.52</v>
      </c>
      <c r="K468" s="5">
        <v>42.52</v>
      </c>
      <c r="L468" s="5">
        <v>42.52</v>
      </c>
      <c r="M468" s="5">
        <v>42.52</v>
      </c>
    </row>
    <row r="469" spans="1:13" ht="15" customHeight="1" x14ac:dyDescent="0.35">
      <c r="A469" s="1">
        <v>16</v>
      </c>
      <c r="B469" s="5">
        <v>20.65</v>
      </c>
      <c r="C469" s="5">
        <v>25.3</v>
      </c>
      <c r="D469" s="5">
        <v>32.72</v>
      </c>
      <c r="E469" s="5">
        <v>47.92</v>
      </c>
      <c r="F469" s="5">
        <v>68.44</v>
      </c>
      <c r="G469" s="5">
        <v>71.58</v>
      </c>
      <c r="H469" s="5">
        <v>73.010000000000005</v>
      </c>
      <c r="I469" s="5">
        <v>75.17</v>
      </c>
      <c r="J469" s="5">
        <v>43.02</v>
      </c>
      <c r="K469" s="5">
        <v>43.02</v>
      </c>
      <c r="L469" s="5">
        <v>43.02</v>
      </c>
      <c r="M469" s="5">
        <v>43.02</v>
      </c>
    </row>
    <row r="470" spans="1:13" ht="15" customHeight="1" x14ac:dyDescent="0.35">
      <c r="A470" s="1">
        <v>17</v>
      </c>
      <c r="B470" s="5">
        <v>20.8</v>
      </c>
      <c r="C470" s="5">
        <v>26.04</v>
      </c>
      <c r="D470" s="5">
        <v>34.130000000000003</v>
      </c>
      <c r="E470" s="5">
        <v>51.17</v>
      </c>
      <c r="F470" s="5">
        <v>70.209999999999994</v>
      </c>
      <c r="G470" s="5">
        <v>77.400000000000006</v>
      </c>
      <c r="H470" s="5">
        <v>78.95</v>
      </c>
      <c r="I470" s="5">
        <v>81.62</v>
      </c>
      <c r="J470" s="5">
        <v>44.71</v>
      </c>
      <c r="K470" s="5">
        <v>44.71</v>
      </c>
      <c r="L470" s="5">
        <v>44.71</v>
      </c>
      <c r="M470" s="5">
        <v>44.71</v>
      </c>
    </row>
    <row r="471" spans="1:13" ht="15" customHeight="1" x14ac:dyDescent="0.35">
      <c r="A471" s="1">
        <v>18</v>
      </c>
      <c r="B471" s="5">
        <v>22.18</v>
      </c>
      <c r="C471" s="5">
        <v>27.49</v>
      </c>
      <c r="D471" s="5">
        <v>35.36</v>
      </c>
      <c r="E471" s="5">
        <v>52.92</v>
      </c>
      <c r="F471" s="5">
        <v>74.48</v>
      </c>
      <c r="G471" s="5">
        <v>79.31</v>
      </c>
      <c r="H471" s="5">
        <v>80.89</v>
      </c>
      <c r="I471" s="5">
        <v>83.29</v>
      </c>
      <c r="J471" s="5">
        <v>46.02</v>
      </c>
      <c r="K471" s="5">
        <v>46.02</v>
      </c>
      <c r="L471" s="5">
        <v>46.02</v>
      </c>
      <c r="M471" s="5">
        <v>46.02</v>
      </c>
    </row>
    <row r="472" spans="1:13" ht="15" customHeight="1" x14ac:dyDescent="0.35">
      <c r="A472" s="1">
        <v>19</v>
      </c>
      <c r="B472" s="5">
        <v>22.32</v>
      </c>
      <c r="C472" s="5">
        <v>27.65</v>
      </c>
      <c r="D472" s="5">
        <v>36.42</v>
      </c>
      <c r="E472" s="5">
        <v>55.09</v>
      </c>
      <c r="F472" s="5">
        <v>77.209999999999994</v>
      </c>
      <c r="G472" s="5">
        <v>84.54</v>
      </c>
      <c r="H472" s="5">
        <v>86.72</v>
      </c>
      <c r="I472" s="5">
        <v>89.3</v>
      </c>
      <c r="J472" s="5">
        <v>47.4</v>
      </c>
      <c r="K472" s="5">
        <v>47.4</v>
      </c>
      <c r="L472" s="5">
        <v>47.4</v>
      </c>
      <c r="M472" s="5">
        <v>47.4</v>
      </c>
    </row>
    <row r="473" spans="1:13" ht="15" customHeight="1" x14ac:dyDescent="0.35">
      <c r="A473" s="1">
        <v>20</v>
      </c>
      <c r="B473" s="5">
        <v>22.44</v>
      </c>
      <c r="C473" s="5">
        <v>28.83</v>
      </c>
      <c r="D473" s="5">
        <v>37.82</v>
      </c>
      <c r="E473" s="5">
        <v>56.59</v>
      </c>
      <c r="F473" s="5">
        <v>78.47</v>
      </c>
      <c r="G473" s="5">
        <v>85.6</v>
      </c>
      <c r="H473" s="5">
        <v>87.31</v>
      </c>
      <c r="I473" s="5">
        <v>89.9</v>
      </c>
      <c r="J473" s="5">
        <v>48.84</v>
      </c>
      <c r="K473" s="5">
        <v>48.84</v>
      </c>
      <c r="L473" s="5">
        <v>48.84</v>
      </c>
      <c r="M473" s="5">
        <v>48.84</v>
      </c>
    </row>
    <row r="474" spans="1:13" ht="15" customHeight="1" x14ac:dyDescent="0.35">
      <c r="A474" s="1">
        <v>21</v>
      </c>
      <c r="B474" s="5">
        <v>21.4</v>
      </c>
      <c r="C474" s="5">
        <v>25.99</v>
      </c>
      <c r="D474" s="5">
        <v>34.07</v>
      </c>
      <c r="E474" s="5">
        <v>51.75</v>
      </c>
      <c r="F474" s="5">
        <v>71.87</v>
      </c>
      <c r="G474" s="5">
        <v>77.17</v>
      </c>
      <c r="H474" s="5">
        <v>78.72</v>
      </c>
      <c r="I474" s="5">
        <v>81.06</v>
      </c>
      <c r="J474" s="5">
        <v>42.66</v>
      </c>
      <c r="K474" s="5">
        <v>42.66</v>
      </c>
      <c r="L474" s="5">
        <v>42.66</v>
      </c>
      <c r="M474" s="5">
        <v>42.66</v>
      </c>
    </row>
    <row r="475" spans="1:13" ht="15" customHeight="1" x14ac:dyDescent="0.35">
      <c r="A475" s="1">
        <v>22</v>
      </c>
      <c r="B475" s="5">
        <v>21.66</v>
      </c>
      <c r="C475" s="5">
        <v>26.42</v>
      </c>
      <c r="D475" s="5">
        <v>36.35</v>
      </c>
      <c r="E475" s="5">
        <v>53.2</v>
      </c>
      <c r="F475" s="5">
        <v>74.23</v>
      </c>
      <c r="G475" s="5">
        <v>80.02</v>
      </c>
      <c r="H475" s="5">
        <v>84.68</v>
      </c>
      <c r="I475" s="5">
        <v>87.2</v>
      </c>
      <c r="J475" s="5">
        <v>45.21</v>
      </c>
      <c r="K475" s="5">
        <v>45.21</v>
      </c>
      <c r="L475" s="5">
        <v>45.21</v>
      </c>
      <c r="M475" s="5">
        <v>45.21</v>
      </c>
    </row>
    <row r="476" spans="1:13" ht="15" customHeight="1" x14ac:dyDescent="0.35">
      <c r="A476" s="1">
        <v>23</v>
      </c>
      <c r="B476" s="5">
        <v>22.71</v>
      </c>
      <c r="C476" s="5">
        <v>28.93</v>
      </c>
      <c r="D476" s="5">
        <v>37.659999999999997</v>
      </c>
      <c r="E476" s="5">
        <v>54.72</v>
      </c>
      <c r="F476" s="5">
        <v>76.91</v>
      </c>
      <c r="G476" s="5">
        <v>84.19</v>
      </c>
      <c r="H476" s="5">
        <v>87.82</v>
      </c>
      <c r="I476" s="5">
        <v>90.42</v>
      </c>
      <c r="J476" s="5">
        <v>45.48</v>
      </c>
      <c r="K476" s="5">
        <v>45.48</v>
      </c>
      <c r="L476" s="5">
        <v>45.48</v>
      </c>
      <c r="M476" s="5">
        <v>45.48</v>
      </c>
    </row>
    <row r="477" spans="1:13" ht="15" customHeight="1" x14ac:dyDescent="0.35">
      <c r="A477" s="1">
        <v>24</v>
      </c>
      <c r="B477" s="5">
        <v>23.58</v>
      </c>
      <c r="C477" s="5">
        <v>29.19</v>
      </c>
      <c r="D477" s="5">
        <v>38.5</v>
      </c>
      <c r="E477" s="5">
        <v>56.85</v>
      </c>
      <c r="F477" s="5">
        <v>78.22</v>
      </c>
      <c r="G477" s="5">
        <v>87.48</v>
      </c>
      <c r="H477" s="5">
        <v>89.29</v>
      </c>
      <c r="I477" s="5">
        <v>91.94</v>
      </c>
      <c r="J477" s="5">
        <v>45.73</v>
      </c>
      <c r="K477" s="5">
        <v>45.73</v>
      </c>
      <c r="L477" s="5">
        <v>45.73</v>
      </c>
      <c r="M477" s="5">
        <v>45.73</v>
      </c>
    </row>
    <row r="478" spans="1:13" ht="15" customHeight="1" x14ac:dyDescent="0.35">
      <c r="A478" s="1">
        <v>25</v>
      </c>
      <c r="B478" s="5">
        <v>23.67</v>
      </c>
      <c r="C478" s="5">
        <v>29.79</v>
      </c>
      <c r="D478" s="5">
        <v>38.86</v>
      </c>
      <c r="E478" s="5">
        <v>58.8</v>
      </c>
      <c r="F478" s="5">
        <v>82.3</v>
      </c>
      <c r="G478" s="5">
        <v>88.92</v>
      </c>
      <c r="H478" s="5">
        <v>90.7</v>
      </c>
      <c r="I478" s="5">
        <v>93.39</v>
      </c>
      <c r="J478" s="5">
        <v>49.02</v>
      </c>
      <c r="K478" s="5">
        <v>49.02</v>
      </c>
      <c r="L478" s="5">
        <v>49.02</v>
      </c>
      <c r="M478" s="5">
        <v>49.02</v>
      </c>
    </row>
    <row r="479" spans="1:13" ht="15" customHeight="1" x14ac:dyDescent="0.35">
      <c r="A479" s="1">
        <v>26</v>
      </c>
      <c r="B479" s="5">
        <v>24.39</v>
      </c>
      <c r="C479" s="5">
        <v>30.6</v>
      </c>
      <c r="D479" s="5">
        <v>41.07</v>
      </c>
      <c r="E479" s="5">
        <v>60.72</v>
      </c>
      <c r="F479" s="5">
        <v>85.1</v>
      </c>
      <c r="G479" s="5">
        <v>93.67</v>
      </c>
      <c r="H479" s="5">
        <v>96.62</v>
      </c>
      <c r="I479" s="5">
        <v>99.5</v>
      </c>
      <c r="J479" s="5">
        <v>49.35</v>
      </c>
      <c r="K479" s="5">
        <v>49.35</v>
      </c>
      <c r="L479" s="5">
        <v>49.35</v>
      </c>
      <c r="M479" s="5">
        <v>49.35</v>
      </c>
    </row>
    <row r="480" spans="1:13" ht="15" customHeight="1" x14ac:dyDescent="0.35">
      <c r="A480" s="1">
        <v>27</v>
      </c>
      <c r="B480" s="5">
        <v>24.79</v>
      </c>
      <c r="C480" s="5">
        <v>31.91</v>
      </c>
      <c r="D480" s="5">
        <v>42.48</v>
      </c>
      <c r="E480" s="5">
        <v>62.87</v>
      </c>
      <c r="F480" s="5">
        <v>87.99</v>
      </c>
      <c r="G480" s="5">
        <v>95.32</v>
      </c>
      <c r="H480" s="5">
        <v>97.22</v>
      </c>
      <c r="I480" s="5">
        <v>100.11</v>
      </c>
      <c r="J480" s="5">
        <v>49.6</v>
      </c>
      <c r="K480" s="5">
        <v>49.6</v>
      </c>
      <c r="L480" s="5">
        <v>49.6</v>
      </c>
      <c r="M480" s="5">
        <v>49.6</v>
      </c>
    </row>
    <row r="481" spans="1:13" ht="15" customHeight="1" x14ac:dyDescent="0.35">
      <c r="A481" s="1">
        <v>28</v>
      </c>
      <c r="B481" s="5">
        <v>25.4</v>
      </c>
      <c r="C481" s="5">
        <v>32.04</v>
      </c>
      <c r="D481" s="5">
        <v>42.62</v>
      </c>
      <c r="E481" s="5">
        <v>64.349999999999994</v>
      </c>
      <c r="F481" s="5">
        <v>90.25</v>
      </c>
      <c r="G481" s="5">
        <v>96.52</v>
      </c>
      <c r="H481" s="5">
        <v>98.45</v>
      </c>
      <c r="I481" s="5">
        <v>101.37</v>
      </c>
      <c r="J481" s="5">
        <v>51.36</v>
      </c>
      <c r="K481" s="5">
        <v>51.36</v>
      </c>
      <c r="L481" s="5">
        <v>51.36</v>
      </c>
      <c r="M481" s="5">
        <v>51.36</v>
      </c>
    </row>
    <row r="482" spans="1:13" ht="15" customHeight="1" x14ac:dyDescent="0.35">
      <c r="A482" s="1">
        <v>29</v>
      </c>
      <c r="B482" s="5">
        <v>26.69</v>
      </c>
      <c r="C482" s="5">
        <v>32.14</v>
      </c>
      <c r="D482" s="5">
        <v>43.53</v>
      </c>
      <c r="E482" s="5">
        <v>65.89</v>
      </c>
      <c r="F482" s="5">
        <v>90.95</v>
      </c>
      <c r="G482" s="5">
        <v>98.32</v>
      </c>
      <c r="H482" s="5">
        <v>100.3</v>
      </c>
      <c r="I482" s="5">
        <v>103.27</v>
      </c>
      <c r="J482" s="5">
        <v>51.62</v>
      </c>
      <c r="K482" s="5">
        <v>51.62</v>
      </c>
      <c r="L482" s="5">
        <v>51.62</v>
      </c>
      <c r="M482" s="5">
        <v>51.62</v>
      </c>
    </row>
    <row r="483" spans="1:13" ht="15" customHeight="1" x14ac:dyDescent="0.35">
      <c r="A483" s="1">
        <v>30</v>
      </c>
      <c r="B483" s="5">
        <v>27.5</v>
      </c>
      <c r="C483" s="5">
        <v>34.03</v>
      </c>
      <c r="D483" s="5">
        <v>44.21</v>
      </c>
      <c r="E483" s="5">
        <v>68.05</v>
      </c>
      <c r="F483" s="5">
        <v>93.44</v>
      </c>
      <c r="G483" s="5">
        <v>99.6</v>
      </c>
      <c r="H483" s="5">
        <v>101.59</v>
      </c>
      <c r="I483" s="5">
        <v>104.6</v>
      </c>
      <c r="J483" s="5">
        <v>52.42</v>
      </c>
      <c r="K483" s="5">
        <v>52.42</v>
      </c>
      <c r="L483" s="5">
        <v>52.42</v>
      </c>
      <c r="M483" s="5">
        <v>52.42</v>
      </c>
    </row>
    <row r="484" spans="1:13" ht="15" customHeight="1" x14ac:dyDescent="0.35">
      <c r="A484" s="1">
        <v>31</v>
      </c>
      <c r="B484" s="5">
        <v>27.69</v>
      </c>
      <c r="C484" s="5">
        <v>34.869999999999997</v>
      </c>
      <c r="D484" s="5">
        <v>45.39</v>
      </c>
      <c r="E484" s="5">
        <v>69.569999999999993</v>
      </c>
      <c r="F484" s="5">
        <v>97.38</v>
      </c>
      <c r="G484" s="5">
        <v>104.76</v>
      </c>
      <c r="H484" s="5">
        <v>106.86</v>
      </c>
      <c r="I484" s="5">
        <v>110.03</v>
      </c>
      <c r="J484" s="5">
        <v>52.56</v>
      </c>
      <c r="K484" s="5">
        <v>52.56</v>
      </c>
      <c r="L484" s="5">
        <v>52.56</v>
      </c>
      <c r="M484" s="5">
        <v>52.56</v>
      </c>
    </row>
    <row r="485" spans="1:13" ht="15" customHeight="1" x14ac:dyDescent="0.35">
      <c r="A485" s="1">
        <v>32</v>
      </c>
      <c r="B485" s="5">
        <v>27.78</v>
      </c>
      <c r="C485" s="5">
        <v>37.17</v>
      </c>
      <c r="D485" s="5">
        <v>46.69</v>
      </c>
      <c r="E485" s="5">
        <v>69.930000000000007</v>
      </c>
      <c r="F485" s="5">
        <v>100.23</v>
      </c>
      <c r="G485" s="5">
        <v>105.29</v>
      </c>
      <c r="H485" s="5">
        <v>107.39</v>
      </c>
      <c r="I485" s="5">
        <v>110.59</v>
      </c>
      <c r="J485" s="5">
        <v>55.28</v>
      </c>
      <c r="K485" s="5">
        <v>55.28</v>
      </c>
      <c r="L485" s="5">
        <v>55.28</v>
      </c>
      <c r="M485" s="5">
        <v>55.28</v>
      </c>
    </row>
    <row r="486" spans="1:13" ht="15" customHeight="1" x14ac:dyDescent="0.35">
      <c r="A486" s="1">
        <v>33</v>
      </c>
      <c r="B486" s="5">
        <v>28.89</v>
      </c>
      <c r="C486" s="5">
        <v>37.46</v>
      </c>
      <c r="D486" s="5">
        <v>49.64</v>
      </c>
      <c r="E486" s="5">
        <v>72.78</v>
      </c>
      <c r="F486" s="5">
        <v>102.91</v>
      </c>
      <c r="G486" s="5">
        <v>108.09</v>
      </c>
      <c r="H486" s="5">
        <v>110.25</v>
      </c>
      <c r="I486" s="5">
        <v>113.44</v>
      </c>
      <c r="J486" s="5">
        <v>56.39</v>
      </c>
      <c r="K486" s="5">
        <v>56.39</v>
      </c>
      <c r="L486" s="5">
        <v>56.39</v>
      </c>
      <c r="M486" s="5">
        <v>56.39</v>
      </c>
    </row>
    <row r="487" spans="1:13" ht="15" customHeight="1" x14ac:dyDescent="0.35">
      <c r="A487" s="1">
        <v>34</v>
      </c>
      <c r="B487" s="5">
        <v>29.79</v>
      </c>
      <c r="C487" s="5">
        <v>37.57</v>
      </c>
      <c r="D487" s="5">
        <v>49.95</v>
      </c>
      <c r="E487" s="5">
        <v>73.930000000000007</v>
      </c>
      <c r="F487" s="5">
        <v>106.02</v>
      </c>
      <c r="G487" s="5">
        <v>115.1</v>
      </c>
      <c r="H487" s="5">
        <v>119.35</v>
      </c>
      <c r="I487" s="5">
        <v>123.11</v>
      </c>
      <c r="J487" s="5">
        <v>59.15</v>
      </c>
      <c r="K487" s="5">
        <v>59.15</v>
      </c>
      <c r="L487" s="5">
        <v>59.15</v>
      </c>
      <c r="M487" s="5">
        <v>59.15</v>
      </c>
    </row>
    <row r="488" spans="1:13" ht="15" customHeight="1" x14ac:dyDescent="0.35">
      <c r="A488" s="1">
        <v>35</v>
      </c>
      <c r="B488" s="5">
        <v>30.39</v>
      </c>
      <c r="C488" s="5">
        <v>37.659999999999997</v>
      </c>
      <c r="D488" s="5">
        <v>50.04</v>
      </c>
      <c r="E488" s="5">
        <v>74.2</v>
      </c>
      <c r="F488" s="5">
        <v>107.21</v>
      </c>
      <c r="G488" s="5">
        <v>115.83</v>
      </c>
      <c r="H488" s="5">
        <v>120.26</v>
      </c>
      <c r="I488" s="5">
        <v>124.08</v>
      </c>
      <c r="J488" s="5">
        <v>59.43</v>
      </c>
      <c r="K488" s="5">
        <v>59.43</v>
      </c>
      <c r="L488" s="5">
        <v>59.43</v>
      </c>
      <c r="M488" s="5">
        <v>59.43</v>
      </c>
    </row>
    <row r="489" spans="1:13" ht="15" customHeight="1" x14ac:dyDescent="0.35">
      <c r="A489" s="1">
        <v>36</v>
      </c>
      <c r="B489" s="5">
        <v>31.4</v>
      </c>
      <c r="C489" s="5">
        <v>39.520000000000003</v>
      </c>
      <c r="D489" s="5">
        <v>51.08</v>
      </c>
      <c r="E489" s="5">
        <v>76.930000000000007</v>
      </c>
      <c r="F489" s="5">
        <v>110.08</v>
      </c>
      <c r="G489" s="5">
        <v>119.29</v>
      </c>
      <c r="H489" s="5">
        <v>121.88</v>
      </c>
      <c r="I489" s="5">
        <v>125.51</v>
      </c>
      <c r="J489" s="5">
        <v>61.35</v>
      </c>
      <c r="K489" s="5">
        <v>61.35</v>
      </c>
      <c r="L489" s="5">
        <v>61.35</v>
      </c>
      <c r="M489" s="5">
        <v>61.35</v>
      </c>
    </row>
    <row r="490" spans="1:13" ht="15" customHeight="1" x14ac:dyDescent="0.35">
      <c r="A490" s="1">
        <v>37</v>
      </c>
      <c r="B490" s="5">
        <v>31.51</v>
      </c>
      <c r="C490" s="5">
        <v>39.72</v>
      </c>
      <c r="D490" s="5">
        <v>51.2</v>
      </c>
      <c r="E490" s="5">
        <v>77.2</v>
      </c>
      <c r="F490" s="5">
        <v>113.05</v>
      </c>
      <c r="G490" s="5">
        <v>119.64</v>
      </c>
      <c r="H490" s="5">
        <v>122.04</v>
      </c>
      <c r="I490" s="5">
        <v>125.65</v>
      </c>
      <c r="J490" s="5">
        <v>62.44</v>
      </c>
      <c r="K490" s="5">
        <v>62.44</v>
      </c>
      <c r="L490" s="5">
        <v>62.44</v>
      </c>
      <c r="M490" s="5">
        <v>62.44</v>
      </c>
    </row>
    <row r="491" spans="1:13" ht="15" customHeight="1" x14ac:dyDescent="0.35">
      <c r="A491" s="1">
        <v>38</v>
      </c>
      <c r="B491" s="5">
        <v>32.700000000000003</v>
      </c>
      <c r="C491" s="5">
        <v>40.75</v>
      </c>
      <c r="D491" s="5">
        <v>53.12</v>
      </c>
      <c r="E491" s="5">
        <v>77.31</v>
      </c>
      <c r="F491" s="5">
        <v>117.78</v>
      </c>
      <c r="G491" s="5">
        <v>120.14</v>
      </c>
      <c r="H491" s="5">
        <v>122.53</v>
      </c>
      <c r="I491" s="5">
        <v>126.17</v>
      </c>
      <c r="J491" s="5">
        <v>62.55</v>
      </c>
      <c r="K491" s="5">
        <v>62.55</v>
      </c>
      <c r="L491" s="5">
        <v>62.55</v>
      </c>
      <c r="M491" s="5">
        <v>62.55</v>
      </c>
    </row>
    <row r="492" spans="1:13" ht="15" customHeight="1" x14ac:dyDescent="0.35">
      <c r="A492" s="1">
        <v>39</v>
      </c>
      <c r="B492" s="5">
        <v>33.6</v>
      </c>
      <c r="C492" s="5">
        <v>40.880000000000003</v>
      </c>
      <c r="D492" s="5">
        <v>53.31</v>
      </c>
      <c r="E492" s="5">
        <v>78.930000000000007</v>
      </c>
      <c r="F492" s="5">
        <v>120.99</v>
      </c>
      <c r="G492" s="5">
        <v>128.54</v>
      </c>
      <c r="H492" s="5">
        <v>132.44999999999999</v>
      </c>
      <c r="I492" s="5">
        <v>136.38</v>
      </c>
      <c r="J492" s="5">
        <v>62.65</v>
      </c>
      <c r="K492" s="5">
        <v>62.65</v>
      </c>
      <c r="L492" s="5">
        <v>62.65</v>
      </c>
      <c r="M492" s="5">
        <v>62.65</v>
      </c>
    </row>
    <row r="493" spans="1:13" ht="15" customHeight="1" x14ac:dyDescent="0.35">
      <c r="A493" s="1">
        <v>40</v>
      </c>
      <c r="B493" s="5">
        <v>33.85</v>
      </c>
      <c r="C493" s="5">
        <v>41.96</v>
      </c>
      <c r="D493" s="5">
        <v>55.85</v>
      </c>
      <c r="E493" s="5">
        <v>85.56</v>
      </c>
      <c r="F493" s="5">
        <v>123.74</v>
      </c>
      <c r="G493" s="5">
        <v>130.83000000000001</v>
      </c>
      <c r="H493" s="5">
        <v>133.44999999999999</v>
      </c>
      <c r="I493" s="5">
        <v>137.41</v>
      </c>
      <c r="J493" s="5">
        <v>62.83</v>
      </c>
      <c r="K493" s="5">
        <v>62.83</v>
      </c>
      <c r="L493" s="5">
        <v>62.83</v>
      </c>
      <c r="M493" s="5">
        <v>62.83</v>
      </c>
    </row>
    <row r="494" spans="1:13" ht="15" customHeight="1" x14ac:dyDescent="0.35">
      <c r="A494" s="1">
        <v>41</v>
      </c>
      <c r="B494" s="5">
        <v>35.340000000000003</v>
      </c>
      <c r="C494" s="5">
        <v>43.98</v>
      </c>
      <c r="D494" s="5">
        <v>56.49</v>
      </c>
      <c r="E494" s="5">
        <v>86.23</v>
      </c>
      <c r="F494" s="5">
        <v>126.54</v>
      </c>
      <c r="G494" s="5">
        <v>138.37</v>
      </c>
      <c r="H494" s="5">
        <v>142.69</v>
      </c>
      <c r="I494" s="5">
        <v>147.05000000000001</v>
      </c>
      <c r="J494" s="5">
        <v>66.36</v>
      </c>
      <c r="K494" s="5">
        <v>66.36</v>
      </c>
      <c r="L494" s="5">
        <v>66.36</v>
      </c>
      <c r="M494" s="5">
        <v>66.36</v>
      </c>
    </row>
    <row r="495" spans="1:13" ht="15" customHeight="1" x14ac:dyDescent="0.35">
      <c r="A495" s="1">
        <v>42</v>
      </c>
      <c r="B495" s="5">
        <v>36.76</v>
      </c>
      <c r="C495" s="5">
        <v>45.84</v>
      </c>
      <c r="D495" s="5">
        <v>58.33</v>
      </c>
      <c r="E495" s="5">
        <v>88.99</v>
      </c>
      <c r="F495" s="5">
        <v>126.84</v>
      </c>
      <c r="G495" s="5">
        <v>141.78</v>
      </c>
      <c r="H495" s="5">
        <v>146.08000000000001</v>
      </c>
      <c r="I495" s="5">
        <v>150.41</v>
      </c>
      <c r="J495" s="5">
        <v>73.28</v>
      </c>
      <c r="K495" s="5">
        <v>73.28</v>
      </c>
      <c r="L495" s="5">
        <v>73.28</v>
      </c>
      <c r="M495" s="5">
        <v>73.28</v>
      </c>
    </row>
    <row r="496" spans="1:13" ht="15" customHeight="1" x14ac:dyDescent="0.35">
      <c r="A496" s="1">
        <v>43</v>
      </c>
      <c r="B496" s="5">
        <v>36.9</v>
      </c>
      <c r="C496" s="5">
        <v>46.03</v>
      </c>
      <c r="D496" s="5">
        <v>59.63</v>
      </c>
      <c r="E496" s="5">
        <v>90.48</v>
      </c>
      <c r="F496" s="5">
        <v>129.51</v>
      </c>
      <c r="G496" s="5">
        <v>143.54</v>
      </c>
      <c r="H496" s="5">
        <v>146.41999999999999</v>
      </c>
      <c r="I496" s="5">
        <v>150.76</v>
      </c>
      <c r="J496" s="5">
        <v>74.290000000000006</v>
      </c>
      <c r="K496" s="5">
        <v>74.290000000000006</v>
      </c>
      <c r="L496" s="5">
        <v>74.290000000000006</v>
      </c>
      <c r="M496" s="5">
        <v>74.290000000000006</v>
      </c>
    </row>
    <row r="497" spans="1:13" ht="15" customHeight="1" x14ac:dyDescent="0.35">
      <c r="A497" s="1">
        <v>44</v>
      </c>
      <c r="B497" s="5">
        <v>37.299999999999997</v>
      </c>
      <c r="C497" s="5">
        <v>46.13</v>
      </c>
      <c r="D497" s="5">
        <v>62.15</v>
      </c>
      <c r="E497" s="5">
        <v>92.07</v>
      </c>
      <c r="F497" s="5">
        <v>134.86000000000001</v>
      </c>
      <c r="G497" s="5">
        <v>143.88999999999999</v>
      </c>
      <c r="H497" s="5">
        <v>146.77000000000001</v>
      </c>
      <c r="I497" s="5">
        <v>151.12</v>
      </c>
      <c r="J497" s="5">
        <v>74.400000000000006</v>
      </c>
      <c r="K497" s="5">
        <v>74.400000000000006</v>
      </c>
      <c r="L497" s="5">
        <v>74.400000000000006</v>
      </c>
      <c r="M497" s="5">
        <v>74.400000000000006</v>
      </c>
    </row>
    <row r="498" spans="1:13" ht="15" customHeight="1" x14ac:dyDescent="0.35">
      <c r="A498" s="1">
        <v>45</v>
      </c>
      <c r="B498" s="5">
        <v>37.39</v>
      </c>
      <c r="C498" s="5">
        <v>47.21</v>
      </c>
      <c r="D498" s="5">
        <v>64.260000000000005</v>
      </c>
      <c r="E498" s="5">
        <v>93.36</v>
      </c>
      <c r="F498" s="5">
        <v>137.32</v>
      </c>
      <c r="G498" s="5">
        <v>148.15</v>
      </c>
      <c r="H498" s="5">
        <v>151.12</v>
      </c>
      <c r="I498" s="5">
        <v>155.59</v>
      </c>
      <c r="J498" s="5">
        <v>74.5</v>
      </c>
      <c r="K498" s="5">
        <v>74.5</v>
      </c>
      <c r="L498" s="5">
        <v>74.5</v>
      </c>
      <c r="M498" s="5">
        <v>74.5</v>
      </c>
    </row>
    <row r="499" spans="1:13" ht="15" customHeight="1" x14ac:dyDescent="0.35">
      <c r="A499" s="1">
        <v>46</v>
      </c>
      <c r="B499" s="5">
        <v>37.49</v>
      </c>
      <c r="C499" s="5">
        <v>50.13</v>
      </c>
      <c r="D499" s="5">
        <v>65.53</v>
      </c>
      <c r="E499" s="5">
        <v>94.78</v>
      </c>
      <c r="F499" s="5">
        <v>139.47</v>
      </c>
      <c r="G499" s="5">
        <v>151.19</v>
      </c>
      <c r="H499" s="5">
        <v>154.22</v>
      </c>
      <c r="I499" s="5">
        <v>158.79</v>
      </c>
      <c r="J499" s="5">
        <v>74.760000000000005</v>
      </c>
      <c r="K499" s="5">
        <v>74.760000000000005</v>
      </c>
      <c r="L499" s="5">
        <v>74.760000000000005</v>
      </c>
      <c r="M499" s="5">
        <v>74.760000000000005</v>
      </c>
    </row>
    <row r="500" spans="1:13" ht="15" customHeight="1" x14ac:dyDescent="0.35">
      <c r="A500" s="1">
        <v>47</v>
      </c>
      <c r="B500" s="5">
        <v>39.14</v>
      </c>
      <c r="C500" s="5">
        <v>50.42</v>
      </c>
      <c r="D500" s="5">
        <v>65.67</v>
      </c>
      <c r="E500" s="5">
        <v>96.1</v>
      </c>
      <c r="F500" s="5">
        <v>139.72</v>
      </c>
      <c r="G500" s="5">
        <v>151.5</v>
      </c>
      <c r="H500" s="5">
        <v>154.53</v>
      </c>
      <c r="I500" s="5">
        <v>159.11000000000001</v>
      </c>
      <c r="J500" s="5">
        <v>76.16</v>
      </c>
      <c r="K500" s="5">
        <v>76.16</v>
      </c>
      <c r="L500" s="5">
        <v>76.16</v>
      </c>
      <c r="M500" s="5">
        <v>76.16</v>
      </c>
    </row>
    <row r="501" spans="1:13" ht="15" customHeight="1" x14ac:dyDescent="0.35">
      <c r="A501" s="1">
        <v>48</v>
      </c>
      <c r="B501" s="5">
        <v>39.92</v>
      </c>
      <c r="C501" s="5">
        <v>50.51</v>
      </c>
      <c r="D501" s="5">
        <v>67.83</v>
      </c>
      <c r="E501" s="5">
        <v>97.51</v>
      </c>
      <c r="F501" s="5">
        <v>144.86000000000001</v>
      </c>
      <c r="G501" s="5">
        <v>151.97999999999999</v>
      </c>
      <c r="H501" s="5">
        <v>155.02000000000001</v>
      </c>
      <c r="I501" s="5">
        <v>159.62</v>
      </c>
      <c r="J501" s="5">
        <v>76.31</v>
      </c>
      <c r="K501" s="5">
        <v>76.31</v>
      </c>
      <c r="L501" s="5">
        <v>76.31</v>
      </c>
      <c r="M501" s="5">
        <v>76.31</v>
      </c>
    </row>
    <row r="502" spans="1:13" ht="15" customHeight="1" x14ac:dyDescent="0.35">
      <c r="A502" s="1">
        <v>49</v>
      </c>
      <c r="B502" s="5">
        <v>40.01</v>
      </c>
      <c r="C502" s="5">
        <v>51.65</v>
      </c>
      <c r="D502" s="5">
        <v>68.05</v>
      </c>
      <c r="E502" s="5">
        <v>97.67</v>
      </c>
      <c r="F502" s="5">
        <v>147.36000000000001</v>
      </c>
      <c r="G502" s="5">
        <v>155.58000000000001</v>
      </c>
      <c r="H502" s="5">
        <v>158.69999999999999</v>
      </c>
      <c r="I502" s="5">
        <v>166.53</v>
      </c>
      <c r="J502" s="5">
        <v>76.38</v>
      </c>
      <c r="K502" s="5">
        <v>76.38</v>
      </c>
      <c r="L502" s="5">
        <v>76.38</v>
      </c>
      <c r="M502" s="5">
        <v>76.38</v>
      </c>
    </row>
    <row r="503" spans="1:13" ht="15" customHeight="1" x14ac:dyDescent="0.35">
      <c r="A503" s="1">
        <v>50</v>
      </c>
      <c r="B503" s="5">
        <v>40.43</v>
      </c>
      <c r="C503" s="5">
        <v>55.17</v>
      </c>
      <c r="D503" s="5">
        <v>69.55</v>
      </c>
      <c r="E503" s="5">
        <v>99.42</v>
      </c>
      <c r="F503" s="5">
        <v>149.04</v>
      </c>
      <c r="G503" s="5">
        <v>158.62</v>
      </c>
      <c r="H503" s="5">
        <v>161.80000000000001</v>
      </c>
      <c r="I503" s="5">
        <v>170.64</v>
      </c>
      <c r="J503" s="5">
        <v>76.760000000000005</v>
      </c>
      <c r="K503" s="5">
        <v>76.760000000000005</v>
      </c>
      <c r="L503" s="5">
        <v>76.760000000000005</v>
      </c>
      <c r="M503" s="5">
        <v>76.760000000000005</v>
      </c>
    </row>
    <row r="504" spans="1:13" ht="15" customHeight="1" x14ac:dyDescent="0.35">
      <c r="A504" s="1">
        <v>51</v>
      </c>
      <c r="B504" s="5">
        <v>42.73</v>
      </c>
      <c r="C504" s="5">
        <v>55.94</v>
      </c>
      <c r="D504" s="5">
        <v>70.69</v>
      </c>
      <c r="E504" s="5">
        <v>102.98</v>
      </c>
      <c r="F504" s="5">
        <v>157.99</v>
      </c>
      <c r="G504" s="5">
        <v>167.32</v>
      </c>
      <c r="H504" s="5">
        <v>171.73</v>
      </c>
      <c r="I504" s="5">
        <v>176.82</v>
      </c>
      <c r="J504" s="5">
        <v>77.760000000000005</v>
      </c>
      <c r="K504" s="5">
        <v>77.760000000000005</v>
      </c>
      <c r="L504" s="5">
        <v>77.760000000000005</v>
      </c>
      <c r="M504" s="5">
        <v>77.760000000000005</v>
      </c>
    </row>
    <row r="505" spans="1:13" ht="15" customHeight="1" x14ac:dyDescent="0.35">
      <c r="A505" s="1">
        <v>52</v>
      </c>
      <c r="B505" s="5">
        <v>45.65</v>
      </c>
      <c r="C505" s="5">
        <v>57.97</v>
      </c>
      <c r="D505" s="5">
        <v>72.290000000000006</v>
      </c>
      <c r="E505" s="5">
        <v>103.35</v>
      </c>
      <c r="F505" s="5">
        <v>160.12</v>
      </c>
      <c r="G505" s="5">
        <v>170.24</v>
      </c>
      <c r="H505" s="5">
        <v>176.7</v>
      </c>
      <c r="I505" s="5">
        <v>183.28</v>
      </c>
      <c r="J505" s="5">
        <v>78.02</v>
      </c>
      <c r="K505" s="5">
        <v>78.02</v>
      </c>
      <c r="L505" s="5">
        <v>78.02</v>
      </c>
      <c r="M505" s="5">
        <v>78.02</v>
      </c>
    </row>
    <row r="506" spans="1:13" ht="15" customHeight="1" x14ac:dyDescent="0.35">
      <c r="A506" s="1">
        <v>53</v>
      </c>
      <c r="B506" s="5">
        <v>45.95</v>
      </c>
      <c r="C506" s="5">
        <v>58.17</v>
      </c>
      <c r="D506" s="5">
        <v>75.98</v>
      </c>
      <c r="E506" s="5">
        <v>103.59</v>
      </c>
      <c r="F506" s="5">
        <v>160.34</v>
      </c>
      <c r="G506" s="5">
        <v>172.75</v>
      </c>
      <c r="H506" s="5">
        <v>177.19</v>
      </c>
      <c r="I506" s="5">
        <v>183.93</v>
      </c>
      <c r="J506" s="5">
        <v>83.21</v>
      </c>
      <c r="K506" s="5">
        <v>83.21</v>
      </c>
      <c r="L506" s="5">
        <v>83.21</v>
      </c>
      <c r="M506" s="5">
        <v>83.21</v>
      </c>
    </row>
    <row r="507" spans="1:13" ht="15" customHeight="1" x14ac:dyDescent="0.35">
      <c r="A507" s="1">
        <v>54</v>
      </c>
      <c r="B507" s="5">
        <v>46.15</v>
      </c>
      <c r="C507" s="5">
        <v>59.48</v>
      </c>
      <c r="D507" s="5">
        <v>76.36</v>
      </c>
      <c r="E507" s="5">
        <v>108.35</v>
      </c>
      <c r="F507" s="5">
        <v>160.53</v>
      </c>
      <c r="G507" s="5">
        <v>172.99</v>
      </c>
      <c r="H507" s="5">
        <v>179.76</v>
      </c>
      <c r="I507" s="5">
        <v>184.07</v>
      </c>
      <c r="J507" s="5">
        <v>84.83</v>
      </c>
      <c r="K507" s="5">
        <v>84.83</v>
      </c>
      <c r="L507" s="5">
        <v>84.83</v>
      </c>
      <c r="M507" s="5">
        <v>84.83</v>
      </c>
    </row>
    <row r="508" spans="1:13" ht="15" customHeight="1" x14ac:dyDescent="0.35">
      <c r="A508" s="1">
        <v>55</v>
      </c>
      <c r="B508" s="5">
        <v>46.34</v>
      </c>
      <c r="C508" s="5">
        <v>59.66</v>
      </c>
      <c r="D508" s="5">
        <v>76.540000000000006</v>
      </c>
      <c r="E508" s="5">
        <v>108.83</v>
      </c>
      <c r="F508" s="5">
        <v>160.69999999999999</v>
      </c>
      <c r="G508" s="5">
        <v>176.56</v>
      </c>
      <c r="H508" s="5">
        <v>180.09</v>
      </c>
      <c r="I508" s="5">
        <v>184.19</v>
      </c>
      <c r="J508" s="5">
        <v>85</v>
      </c>
      <c r="K508" s="5">
        <v>85</v>
      </c>
      <c r="L508" s="5">
        <v>85</v>
      </c>
      <c r="M508" s="5">
        <v>85</v>
      </c>
    </row>
    <row r="509" spans="1:13" ht="15" customHeight="1" x14ac:dyDescent="0.35">
      <c r="A509" s="1">
        <v>56</v>
      </c>
      <c r="B509" s="5">
        <v>46.56</v>
      </c>
      <c r="C509" s="5">
        <v>59.84</v>
      </c>
      <c r="D509" s="5">
        <v>76.73</v>
      </c>
      <c r="E509" s="5">
        <v>109.11</v>
      </c>
      <c r="F509" s="5">
        <v>160.87</v>
      </c>
      <c r="G509" s="5">
        <v>177.16</v>
      </c>
      <c r="H509" s="5">
        <v>180.71</v>
      </c>
      <c r="I509" s="5">
        <v>184.33</v>
      </c>
      <c r="J509" s="5">
        <v>85.73</v>
      </c>
      <c r="K509" s="5">
        <v>85.73</v>
      </c>
      <c r="L509" s="5">
        <v>85.73</v>
      </c>
      <c r="M509" s="5">
        <v>85.73</v>
      </c>
    </row>
    <row r="510" spans="1:13" ht="15" customHeight="1" x14ac:dyDescent="0.35">
      <c r="A510" s="1">
        <v>57</v>
      </c>
      <c r="B510" s="5">
        <v>47.76</v>
      </c>
      <c r="C510" s="5">
        <v>60.02</v>
      </c>
      <c r="D510" s="5">
        <v>76.91</v>
      </c>
      <c r="E510" s="5">
        <v>114.46</v>
      </c>
      <c r="F510" s="5">
        <v>161.11000000000001</v>
      </c>
      <c r="G510" s="5">
        <v>177.33</v>
      </c>
      <c r="H510" s="5">
        <v>180.87</v>
      </c>
      <c r="I510" s="5">
        <v>186.23</v>
      </c>
      <c r="J510" s="5">
        <v>86.84</v>
      </c>
      <c r="K510" s="5">
        <v>86.84</v>
      </c>
      <c r="L510" s="5">
        <v>86.84</v>
      </c>
      <c r="M510" s="5">
        <v>86.84</v>
      </c>
    </row>
    <row r="511" spans="1:13" ht="15" customHeight="1" x14ac:dyDescent="0.35">
      <c r="A511" s="1">
        <v>58</v>
      </c>
      <c r="B511" s="5">
        <v>47.97</v>
      </c>
      <c r="C511" s="5">
        <v>60.21</v>
      </c>
      <c r="D511" s="5">
        <v>77.11</v>
      </c>
      <c r="E511" s="5">
        <v>115</v>
      </c>
      <c r="F511" s="5">
        <v>161.29</v>
      </c>
      <c r="G511" s="5">
        <v>179.5</v>
      </c>
      <c r="H511" s="5">
        <v>183.09</v>
      </c>
      <c r="I511" s="5">
        <v>188.52</v>
      </c>
      <c r="J511" s="5">
        <v>88.76</v>
      </c>
      <c r="K511" s="5">
        <v>88.76</v>
      </c>
      <c r="L511" s="5">
        <v>88.76</v>
      </c>
      <c r="M511" s="5">
        <v>88.76</v>
      </c>
    </row>
    <row r="512" spans="1:13" ht="15" customHeight="1" x14ac:dyDescent="0.35">
      <c r="A512" s="1">
        <v>59</v>
      </c>
      <c r="B512" s="5">
        <v>49.07</v>
      </c>
      <c r="C512" s="5">
        <v>60.5</v>
      </c>
      <c r="D512" s="5">
        <v>78.77</v>
      </c>
      <c r="E512" s="5">
        <v>115.22</v>
      </c>
      <c r="F512" s="5">
        <v>161.69</v>
      </c>
      <c r="G512" s="5">
        <v>183.77</v>
      </c>
      <c r="H512" s="5">
        <v>187.45</v>
      </c>
      <c r="I512" s="5">
        <v>194.45</v>
      </c>
      <c r="J512" s="5">
        <v>89.96</v>
      </c>
      <c r="K512" s="5">
        <v>89.96</v>
      </c>
      <c r="L512" s="5">
        <v>89.96</v>
      </c>
      <c r="M512" s="5">
        <v>89.96</v>
      </c>
    </row>
    <row r="513" spans="1:13" ht="15" customHeight="1" x14ac:dyDescent="0.35">
      <c r="A513" s="1">
        <v>60</v>
      </c>
      <c r="B513" s="5">
        <v>49.39</v>
      </c>
      <c r="C513" s="5">
        <v>63.88</v>
      </c>
      <c r="D513" s="5">
        <v>79.099999999999994</v>
      </c>
      <c r="E513" s="5">
        <v>119.59</v>
      </c>
      <c r="F513" s="5">
        <v>169.32</v>
      </c>
      <c r="G513" s="5">
        <v>189.27</v>
      </c>
      <c r="H513" s="5">
        <v>193.06</v>
      </c>
      <c r="I513" s="5">
        <v>199.81</v>
      </c>
      <c r="J513" s="5">
        <v>90.76</v>
      </c>
      <c r="K513" s="5">
        <v>90.76</v>
      </c>
      <c r="L513" s="5">
        <v>90.76</v>
      </c>
      <c r="M513" s="5">
        <v>90.76</v>
      </c>
    </row>
    <row r="514" spans="1:13" ht="15" customHeight="1" x14ac:dyDescent="0.35">
      <c r="A514" s="1">
        <v>61</v>
      </c>
      <c r="B514" s="5">
        <v>49.57</v>
      </c>
      <c r="C514" s="5">
        <v>64.23</v>
      </c>
      <c r="D514" s="5">
        <v>79.290000000000006</v>
      </c>
      <c r="E514" s="5">
        <v>120.03</v>
      </c>
      <c r="F514" s="5">
        <v>170.09</v>
      </c>
      <c r="G514" s="5">
        <v>191.08</v>
      </c>
      <c r="H514" s="5">
        <v>198.06</v>
      </c>
      <c r="I514" s="5">
        <v>202.03</v>
      </c>
      <c r="J514" s="5">
        <v>90.89</v>
      </c>
      <c r="K514" s="5">
        <v>90.89</v>
      </c>
      <c r="L514" s="5">
        <v>90.89</v>
      </c>
      <c r="M514" s="5">
        <v>90.89</v>
      </c>
    </row>
    <row r="515" spans="1:13" ht="15" customHeight="1" x14ac:dyDescent="0.35">
      <c r="A515" s="1">
        <v>62</v>
      </c>
      <c r="B515" s="5">
        <v>49.75</v>
      </c>
      <c r="C515" s="5">
        <v>64.45</v>
      </c>
      <c r="D515" s="5">
        <v>81</v>
      </c>
      <c r="E515" s="5">
        <v>120.26</v>
      </c>
      <c r="F515" s="5">
        <v>171</v>
      </c>
      <c r="G515" s="5">
        <v>193</v>
      </c>
      <c r="H515" s="5">
        <v>198.56</v>
      </c>
      <c r="I515" s="5">
        <v>203.04</v>
      </c>
      <c r="J515" s="5">
        <v>91.05</v>
      </c>
      <c r="K515" s="5">
        <v>91.05</v>
      </c>
      <c r="L515" s="5">
        <v>91.05</v>
      </c>
      <c r="M515" s="5">
        <v>91.05</v>
      </c>
    </row>
    <row r="516" spans="1:13" ht="15" customHeight="1" x14ac:dyDescent="0.35">
      <c r="A516" s="1">
        <v>63</v>
      </c>
      <c r="B516" s="5">
        <v>51.06</v>
      </c>
      <c r="C516" s="5">
        <v>66.73</v>
      </c>
      <c r="D516" s="5">
        <v>81.239999999999995</v>
      </c>
      <c r="E516" s="5">
        <v>124.93</v>
      </c>
      <c r="F516" s="5">
        <v>187.92</v>
      </c>
      <c r="G516" s="5">
        <v>195.32</v>
      </c>
      <c r="H516" s="5">
        <v>199.23</v>
      </c>
      <c r="I516" s="5">
        <v>211.3</v>
      </c>
      <c r="J516" s="5">
        <v>92.67</v>
      </c>
      <c r="K516" s="5">
        <v>92.67</v>
      </c>
      <c r="L516" s="5">
        <v>92.67</v>
      </c>
      <c r="M516" s="5">
        <v>92.67</v>
      </c>
    </row>
    <row r="517" spans="1:13" ht="15" customHeight="1" x14ac:dyDescent="0.35">
      <c r="A517" s="1">
        <v>64</v>
      </c>
      <c r="B517" s="5">
        <v>52.81</v>
      </c>
      <c r="C517" s="5">
        <v>67.48</v>
      </c>
      <c r="D517" s="5">
        <v>84.26</v>
      </c>
      <c r="E517" s="5">
        <v>125.4</v>
      </c>
      <c r="F517" s="5">
        <v>191.14</v>
      </c>
      <c r="G517" s="5">
        <v>203.17</v>
      </c>
      <c r="H517" s="5">
        <v>212.29</v>
      </c>
      <c r="I517" s="5">
        <v>218.58</v>
      </c>
      <c r="J517" s="5">
        <v>92.83</v>
      </c>
      <c r="K517" s="5">
        <v>92.83</v>
      </c>
      <c r="L517" s="5">
        <v>92.83</v>
      </c>
      <c r="M517" s="5">
        <v>92.83</v>
      </c>
    </row>
    <row r="518" spans="1:13" ht="15" customHeight="1" x14ac:dyDescent="0.35">
      <c r="A518" s="1">
        <v>65</v>
      </c>
      <c r="B518" s="5">
        <v>52.99</v>
      </c>
      <c r="C518" s="5">
        <v>67.680000000000007</v>
      </c>
      <c r="D518" s="5">
        <v>86.38</v>
      </c>
      <c r="E518" s="5">
        <v>125.59</v>
      </c>
      <c r="F518" s="5">
        <v>195.19</v>
      </c>
      <c r="G518" s="5">
        <v>210.91</v>
      </c>
      <c r="H518" s="5">
        <v>215.18</v>
      </c>
      <c r="I518" s="5">
        <v>219.48</v>
      </c>
      <c r="J518" s="5">
        <v>94.44</v>
      </c>
      <c r="K518" s="5">
        <v>94.44</v>
      </c>
      <c r="L518" s="5">
        <v>94.44</v>
      </c>
      <c r="M518" s="5">
        <v>94.44</v>
      </c>
    </row>
    <row r="519" spans="1:13" ht="15" customHeight="1" x14ac:dyDescent="0.35">
      <c r="A519" s="1">
        <v>66</v>
      </c>
      <c r="B519" s="5">
        <v>53.17</v>
      </c>
      <c r="C519" s="5">
        <v>69.180000000000007</v>
      </c>
      <c r="D519" s="5">
        <v>88.24</v>
      </c>
      <c r="E519" s="5">
        <v>127.48</v>
      </c>
      <c r="F519" s="5">
        <v>196.9</v>
      </c>
      <c r="G519" s="5">
        <v>211.68</v>
      </c>
      <c r="H519" s="5">
        <v>215.92</v>
      </c>
      <c r="I519" s="5">
        <v>222.31</v>
      </c>
      <c r="J519" s="5">
        <v>96.92</v>
      </c>
      <c r="K519" s="5">
        <v>96.92</v>
      </c>
      <c r="L519" s="5">
        <v>96.92</v>
      </c>
      <c r="M519" s="5">
        <v>96.92</v>
      </c>
    </row>
    <row r="520" spans="1:13" ht="15" customHeight="1" x14ac:dyDescent="0.35">
      <c r="A520" s="1">
        <v>67</v>
      </c>
      <c r="B520" s="5">
        <v>53.35</v>
      </c>
      <c r="C520" s="5">
        <v>69.75</v>
      </c>
      <c r="D520" s="5">
        <v>88.45</v>
      </c>
      <c r="E520" s="5">
        <v>127.69</v>
      </c>
      <c r="F520" s="5">
        <v>197.08</v>
      </c>
      <c r="G520" s="5">
        <v>214.55</v>
      </c>
      <c r="H520" s="5">
        <v>218.84</v>
      </c>
      <c r="I520" s="5">
        <v>223.22</v>
      </c>
      <c r="J520" s="5">
        <v>98.81</v>
      </c>
      <c r="K520" s="5">
        <v>98.81</v>
      </c>
      <c r="L520" s="5">
        <v>98.81</v>
      </c>
      <c r="M520" s="5">
        <v>98.81</v>
      </c>
    </row>
    <row r="521" spans="1:13" ht="15" customHeight="1" x14ac:dyDescent="0.35">
      <c r="A521" s="1">
        <v>68</v>
      </c>
      <c r="B521" s="5">
        <v>53.55</v>
      </c>
      <c r="C521" s="5">
        <v>70.260000000000005</v>
      </c>
      <c r="D521" s="5">
        <v>88.65</v>
      </c>
      <c r="E521" s="5">
        <v>127.9</v>
      </c>
      <c r="F521" s="5">
        <v>197.26</v>
      </c>
      <c r="G521" s="5">
        <v>216.46</v>
      </c>
      <c r="H521" s="5">
        <v>220.82</v>
      </c>
      <c r="I521" s="5">
        <v>225.24</v>
      </c>
      <c r="J521" s="5">
        <v>99.01</v>
      </c>
      <c r="K521" s="5">
        <v>99.01</v>
      </c>
      <c r="L521" s="5">
        <v>99.01</v>
      </c>
      <c r="M521" s="5">
        <v>99.01</v>
      </c>
    </row>
    <row r="522" spans="1:13" ht="15" customHeight="1" x14ac:dyDescent="0.35">
      <c r="A522" s="1">
        <v>69</v>
      </c>
      <c r="B522" s="5">
        <v>53.76</v>
      </c>
      <c r="C522" s="5">
        <v>70.48</v>
      </c>
      <c r="D522" s="5">
        <v>88.88</v>
      </c>
      <c r="E522" s="5">
        <v>128.1</v>
      </c>
      <c r="F522" s="5">
        <v>199.27</v>
      </c>
      <c r="G522" s="5">
        <v>217.05</v>
      </c>
      <c r="H522" s="5">
        <v>221.51</v>
      </c>
      <c r="I522" s="5">
        <v>225.94</v>
      </c>
      <c r="J522" s="5">
        <v>99.14</v>
      </c>
      <c r="K522" s="5">
        <v>99.14</v>
      </c>
      <c r="L522" s="5">
        <v>99.14</v>
      </c>
      <c r="M522" s="5">
        <v>99.14</v>
      </c>
    </row>
    <row r="523" spans="1:13" ht="15" customHeight="1" x14ac:dyDescent="0.35">
      <c r="A523" s="1">
        <v>70</v>
      </c>
      <c r="B523" s="5">
        <v>53.93</v>
      </c>
      <c r="C523" s="5">
        <v>74.17</v>
      </c>
      <c r="D523" s="5">
        <v>91.83</v>
      </c>
      <c r="E523" s="5">
        <v>128.31</v>
      </c>
      <c r="F523" s="5">
        <v>199.48</v>
      </c>
      <c r="G523" s="5">
        <v>217.32</v>
      </c>
      <c r="H523" s="5">
        <v>221.67</v>
      </c>
      <c r="I523" s="5">
        <v>226.11</v>
      </c>
      <c r="J523" s="5">
        <v>99.27</v>
      </c>
      <c r="K523" s="5">
        <v>99.27</v>
      </c>
      <c r="L523" s="5">
        <v>99.27</v>
      </c>
      <c r="M523" s="5">
        <v>99.27</v>
      </c>
    </row>
    <row r="524" spans="1:13" ht="15" customHeight="1" x14ac:dyDescent="0.35">
      <c r="A524" s="1">
        <v>71</v>
      </c>
      <c r="B524" s="5">
        <v>55.15</v>
      </c>
      <c r="C524" s="5">
        <v>74.540000000000006</v>
      </c>
      <c r="D524" s="5">
        <v>92.12</v>
      </c>
      <c r="E524" s="5">
        <v>128.52000000000001</v>
      </c>
      <c r="F524" s="5">
        <v>203.07</v>
      </c>
      <c r="G524" s="5">
        <v>217.67</v>
      </c>
      <c r="H524" s="5">
        <v>222.02</v>
      </c>
      <c r="I524" s="5">
        <v>228.6</v>
      </c>
      <c r="J524" s="5">
        <v>99.56</v>
      </c>
      <c r="K524" s="5">
        <v>99.56</v>
      </c>
      <c r="L524" s="5">
        <v>99.56</v>
      </c>
      <c r="M524" s="5">
        <v>99.56</v>
      </c>
    </row>
    <row r="525" spans="1:13" ht="15" customHeight="1" x14ac:dyDescent="0.35">
      <c r="A525" s="1">
        <v>72</v>
      </c>
      <c r="B525" s="5">
        <v>56.95</v>
      </c>
      <c r="C525" s="5">
        <v>74.72</v>
      </c>
      <c r="D525" s="5">
        <v>94.07</v>
      </c>
      <c r="E525" s="5">
        <v>128.72999999999999</v>
      </c>
      <c r="F525" s="5">
        <v>203.63</v>
      </c>
      <c r="G525" s="5">
        <v>224.59</v>
      </c>
      <c r="H525" s="5">
        <v>229.09</v>
      </c>
      <c r="I525" s="5">
        <v>233.67</v>
      </c>
      <c r="J525" s="5">
        <v>104.16</v>
      </c>
      <c r="K525" s="5">
        <v>104.16</v>
      </c>
      <c r="L525" s="5">
        <v>104.16</v>
      </c>
      <c r="M525" s="5">
        <v>104.16</v>
      </c>
    </row>
    <row r="526" spans="1:13" ht="15" customHeight="1" x14ac:dyDescent="0.35">
      <c r="A526" s="1">
        <v>73</v>
      </c>
      <c r="B526" s="5">
        <v>57.13</v>
      </c>
      <c r="C526" s="5">
        <v>74.91</v>
      </c>
      <c r="D526" s="5">
        <v>96.13</v>
      </c>
      <c r="E526" s="5">
        <v>128.94</v>
      </c>
      <c r="F526" s="5">
        <v>205.75</v>
      </c>
      <c r="G526" s="5">
        <v>225.29</v>
      </c>
      <c r="H526" s="5">
        <v>229.79</v>
      </c>
      <c r="I526" s="5">
        <v>234.4</v>
      </c>
      <c r="J526" s="5">
        <v>105.57</v>
      </c>
      <c r="K526" s="5">
        <v>105.57</v>
      </c>
      <c r="L526" s="5">
        <v>105.57</v>
      </c>
      <c r="M526" s="5">
        <v>105.57</v>
      </c>
    </row>
    <row r="527" spans="1:13" ht="15" customHeight="1" x14ac:dyDescent="0.35">
      <c r="A527" s="1">
        <v>74</v>
      </c>
      <c r="B527" s="5">
        <v>57.36</v>
      </c>
      <c r="C527" s="5">
        <v>75.099999999999994</v>
      </c>
      <c r="D527" s="5">
        <v>96.34</v>
      </c>
      <c r="E527" s="5">
        <v>129.15</v>
      </c>
      <c r="F527" s="5">
        <v>205.96</v>
      </c>
      <c r="G527" s="5">
        <v>227.89</v>
      </c>
      <c r="H527" s="5">
        <v>232.46</v>
      </c>
      <c r="I527" s="5">
        <v>237.1</v>
      </c>
      <c r="J527" s="5">
        <v>105.72</v>
      </c>
      <c r="K527" s="5">
        <v>105.72</v>
      </c>
      <c r="L527" s="5">
        <v>105.72</v>
      </c>
      <c r="M527" s="5">
        <v>105.72</v>
      </c>
    </row>
    <row r="528" spans="1:13" ht="15" customHeight="1" x14ac:dyDescent="0.35">
      <c r="A528" s="1">
        <v>75</v>
      </c>
      <c r="B528" s="5">
        <v>57.72</v>
      </c>
      <c r="C528" s="5">
        <v>75.56</v>
      </c>
      <c r="D528" s="5">
        <v>96.71</v>
      </c>
      <c r="E528" s="5">
        <v>129.57</v>
      </c>
      <c r="F528" s="5">
        <v>206.31</v>
      </c>
      <c r="G528" s="5">
        <v>230.88</v>
      </c>
      <c r="H528" s="5">
        <v>235.5</v>
      </c>
      <c r="I528" s="5">
        <v>240.21</v>
      </c>
      <c r="J528" s="5">
        <v>105.98</v>
      </c>
      <c r="K528" s="5">
        <v>105.98</v>
      </c>
      <c r="L528" s="5">
        <v>105.98</v>
      </c>
      <c r="M528" s="5">
        <v>105.98</v>
      </c>
    </row>
    <row r="529" spans="1:13" ht="15" customHeight="1" x14ac:dyDescent="0.35">
      <c r="A529" s="1">
        <v>76</v>
      </c>
      <c r="B529" s="5">
        <v>61.84</v>
      </c>
      <c r="C529" s="5">
        <v>75.930000000000007</v>
      </c>
      <c r="D529" s="5">
        <v>97.08</v>
      </c>
      <c r="E529" s="5">
        <v>131.71</v>
      </c>
      <c r="F529" s="5">
        <v>206.64</v>
      </c>
      <c r="G529" s="5">
        <v>232.09</v>
      </c>
      <c r="H529" s="5">
        <v>239.16</v>
      </c>
      <c r="I529" s="5">
        <v>243.95</v>
      </c>
      <c r="J529" s="5">
        <v>106.24</v>
      </c>
      <c r="K529" s="5">
        <v>106.24</v>
      </c>
      <c r="L529" s="5">
        <v>106.24</v>
      </c>
      <c r="M529" s="5">
        <v>106.24</v>
      </c>
    </row>
    <row r="530" spans="1:13" ht="15" customHeight="1" x14ac:dyDescent="0.35">
      <c r="A530" s="1">
        <v>77</v>
      </c>
      <c r="B530" s="5">
        <v>62.26</v>
      </c>
      <c r="C530" s="5">
        <v>76.3</v>
      </c>
      <c r="D530" s="5">
        <v>97.45</v>
      </c>
      <c r="E530" s="5">
        <v>138.55000000000001</v>
      </c>
      <c r="F530" s="5">
        <v>207</v>
      </c>
      <c r="G530" s="5">
        <v>232.44</v>
      </c>
      <c r="H530" s="5">
        <v>239.65</v>
      </c>
      <c r="I530" s="5">
        <v>246.76</v>
      </c>
      <c r="J530" s="5">
        <v>106.57</v>
      </c>
      <c r="K530" s="5">
        <v>106.57</v>
      </c>
      <c r="L530" s="5">
        <v>106.57</v>
      </c>
      <c r="M530" s="5">
        <v>106.57</v>
      </c>
    </row>
    <row r="531" spans="1:13" ht="15" customHeight="1" x14ac:dyDescent="0.35">
      <c r="A531" s="1">
        <v>78</v>
      </c>
      <c r="B531" s="5">
        <v>62.65</v>
      </c>
      <c r="C531" s="5">
        <v>76.69</v>
      </c>
      <c r="D531" s="5">
        <v>97.82</v>
      </c>
      <c r="E531" s="5">
        <v>139.47999999999999</v>
      </c>
      <c r="F531" s="5">
        <v>211.52</v>
      </c>
      <c r="G531" s="5">
        <v>232.89</v>
      </c>
      <c r="H531" s="5">
        <v>240.4</v>
      </c>
      <c r="I531" s="5">
        <v>247.38</v>
      </c>
      <c r="J531" s="5">
        <v>106.83</v>
      </c>
      <c r="K531" s="5">
        <v>106.83</v>
      </c>
      <c r="L531" s="5">
        <v>106.83</v>
      </c>
      <c r="M531" s="5">
        <v>106.83</v>
      </c>
    </row>
    <row r="532" spans="1:13" ht="15" customHeight="1" x14ac:dyDescent="0.35">
      <c r="A532" s="1">
        <v>79</v>
      </c>
      <c r="B532" s="5">
        <v>63.04</v>
      </c>
      <c r="C532" s="5">
        <v>77.099999999999994</v>
      </c>
      <c r="D532" s="5">
        <v>98.19</v>
      </c>
      <c r="E532" s="5">
        <v>150.06</v>
      </c>
      <c r="F532" s="5">
        <v>220.28</v>
      </c>
      <c r="G532" s="5">
        <v>241.89</v>
      </c>
      <c r="H532" s="5">
        <v>252.39</v>
      </c>
      <c r="I532" s="5">
        <v>259.87</v>
      </c>
      <c r="J532" s="5">
        <v>110.53</v>
      </c>
      <c r="K532" s="5">
        <v>110.53</v>
      </c>
      <c r="L532" s="5">
        <v>110.53</v>
      </c>
      <c r="M532" s="5">
        <v>110.53</v>
      </c>
    </row>
    <row r="533" spans="1:13" ht="15" customHeight="1" x14ac:dyDescent="0.35">
      <c r="A533" s="1">
        <v>80</v>
      </c>
      <c r="B533" s="5">
        <v>63.39</v>
      </c>
      <c r="C533" s="5">
        <v>77.489999999999995</v>
      </c>
      <c r="D533" s="5">
        <v>98.57</v>
      </c>
      <c r="E533" s="5">
        <v>151.12</v>
      </c>
      <c r="F533" s="5">
        <v>221.15</v>
      </c>
      <c r="G533" s="5">
        <v>252.63</v>
      </c>
      <c r="H533" s="5">
        <v>257.69</v>
      </c>
      <c r="I533" s="5">
        <v>265.32</v>
      </c>
      <c r="J533" s="5">
        <v>117.02</v>
      </c>
      <c r="K533" s="5">
        <v>117.02</v>
      </c>
      <c r="L533" s="5">
        <v>117.02</v>
      </c>
      <c r="M533" s="5">
        <v>117.02</v>
      </c>
    </row>
    <row r="534" spans="1:13" ht="15" customHeight="1" x14ac:dyDescent="0.35">
      <c r="A534" s="1">
        <v>81</v>
      </c>
      <c r="B534" s="5">
        <v>63.74</v>
      </c>
      <c r="C534" s="5">
        <v>77.89</v>
      </c>
      <c r="D534" s="5">
        <v>98.93</v>
      </c>
      <c r="E534" s="5">
        <v>151.49</v>
      </c>
      <c r="F534" s="5">
        <v>222.04</v>
      </c>
      <c r="G534" s="5">
        <v>254.53</v>
      </c>
      <c r="H534" s="5">
        <v>259.63</v>
      </c>
      <c r="I534" s="5">
        <v>265.87</v>
      </c>
      <c r="J534" s="5">
        <v>117.67</v>
      </c>
      <c r="K534" s="5">
        <v>117.67</v>
      </c>
      <c r="L534" s="5">
        <v>117.67</v>
      </c>
      <c r="M534" s="5">
        <v>117.67</v>
      </c>
    </row>
    <row r="535" spans="1:13" ht="15" customHeight="1" x14ac:dyDescent="0.35">
      <c r="A535" s="1">
        <v>82</v>
      </c>
      <c r="B535" s="5">
        <v>64.209999999999994</v>
      </c>
      <c r="C535" s="5">
        <v>84.32</v>
      </c>
      <c r="D535" s="5">
        <v>105.1</v>
      </c>
      <c r="E535" s="5">
        <v>154.57</v>
      </c>
      <c r="F535" s="5">
        <v>239.76</v>
      </c>
      <c r="G535" s="5">
        <v>255.13</v>
      </c>
      <c r="H535" s="5">
        <v>260.24</v>
      </c>
      <c r="I535" s="5">
        <v>267.91000000000003</v>
      </c>
      <c r="J535" s="5">
        <v>117.95</v>
      </c>
      <c r="K535" s="5">
        <v>117.95</v>
      </c>
      <c r="L535" s="5">
        <v>117.95</v>
      </c>
      <c r="M535" s="5">
        <v>117.95</v>
      </c>
    </row>
    <row r="536" spans="1:13" ht="15" customHeight="1" x14ac:dyDescent="0.35">
      <c r="A536" s="1">
        <v>83</v>
      </c>
      <c r="B536" s="5">
        <v>65.760000000000005</v>
      </c>
      <c r="C536" s="5">
        <v>85.38</v>
      </c>
      <c r="D536" s="5">
        <v>105.73</v>
      </c>
      <c r="E536" s="5">
        <v>154.99</v>
      </c>
      <c r="F536" s="5">
        <v>243.52</v>
      </c>
      <c r="G536" s="5">
        <v>261.94</v>
      </c>
      <c r="H536" s="5">
        <v>268.13</v>
      </c>
      <c r="I536" s="5">
        <v>276.08</v>
      </c>
      <c r="J536" s="5">
        <v>118.23</v>
      </c>
      <c r="K536" s="5">
        <v>118.23</v>
      </c>
      <c r="L536" s="5">
        <v>118.23</v>
      </c>
      <c r="M536" s="5">
        <v>118.23</v>
      </c>
    </row>
    <row r="537" spans="1:13" ht="15" customHeight="1" x14ac:dyDescent="0.35">
      <c r="A537" s="1">
        <v>84</v>
      </c>
      <c r="B537" s="5">
        <v>66.58</v>
      </c>
      <c r="C537" s="5">
        <v>85.75</v>
      </c>
      <c r="D537" s="5">
        <v>106.1</v>
      </c>
      <c r="E537" s="5">
        <v>155.41</v>
      </c>
      <c r="F537" s="5">
        <v>243.89</v>
      </c>
      <c r="G537" s="5">
        <v>262.62</v>
      </c>
      <c r="H537" s="5">
        <v>268.92</v>
      </c>
      <c r="I537" s="5">
        <v>276.89999999999998</v>
      </c>
      <c r="J537" s="5">
        <v>122.29</v>
      </c>
      <c r="K537" s="5">
        <v>122.29</v>
      </c>
      <c r="L537" s="5">
        <v>122.29</v>
      </c>
      <c r="M537" s="5">
        <v>122.29</v>
      </c>
    </row>
    <row r="538" spans="1:13" ht="15" customHeight="1" x14ac:dyDescent="0.35">
      <c r="A538" s="1">
        <v>85</v>
      </c>
      <c r="B538" s="5">
        <v>66.930000000000007</v>
      </c>
      <c r="C538" s="5">
        <v>86.12</v>
      </c>
      <c r="D538" s="5">
        <v>106.74</v>
      </c>
      <c r="E538" s="5">
        <v>158.63</v>
      </c>
      <c r="F538" s="5">
        <v>245.15</v>
      </c>
      <c r="G538" s="5">
        <v>263.08</v>
      </c>
      <c r="H538" s="5">
        <v>269.27</v>
      </c>
      <c r="I538" s="5">
        <v>277.16000000000003</v>
      </c>
      <c r="J538" s="5">
        <v>129.27000000000001</v>
      </c>
      <c r="K538" s="5">
        <v>129.27000000000001</v>
      </c>
      <c r="L538" s="5">
        <v>129.27000000000001</v>
      </c>
      <c r="M538" s="5">
        <v>129.27000000000001</v>
      </c>
    </row>
    <row r="539" spans="1:13" ht="15" customHeight="1" x14ac:dyDescent="0.35">
      <c r="A539" s="1">
        <v>86</v>
      </c>
      <c r="B539" s="5">
        <v>67.28</v>
      </c>
      <c r="C539" s="5">
        <v>86.47</v>
      </c>
      <c r="D539" s="5">
        <v>107.14</v>
      </c>
      <c r="E539" s="5">
        <v>159.19999999999999</v>
      </c>
      <c r="F539" s="5">
        <v>245.49</v>
      </c>
      <c r="G539" s="5">
        <v>263.42</v>
      </c>
      <c r="H539" s="5">
        <v>269.61</v>
      </c>
      <c r="I539" s="5">
        <v>277.42</v>
      </c>
      <c r="J539" s="5">
        <v>129.96</v>
      </c>
      <c r="K539" s="5">
        <v>129.96</v>
      </c>
      <c r="L539" s="5">
        <v>129.96</v>
      </c>
      <c r="M539" s="5">
        <v>129.96</v>
      </c>
    </row>
    <row r="540" spans="1:13" ht="15" customHeight="1" x14ac:dyDescent="0.35">
      <c r="A540" s="1">
        <v>87</v>
      </c>
      <c r="B540" s="5">
        <v>67.64</v>
      </c>
      <c r="C540" s="5">
        <v>86.88</v>
      </c>
      <c r="D540" s="5">
        <v>107.64</v>
      </c>
      <c r="E540" s="5">
        <v>168.54</v>
      </c>
      <c r="F540" s="5">
        <v>245.84</v>
      </c>
      <c r="G540" s="5">
        <v>263.76</v>
      </c>
      <c r="H540" s="5">
        <v>269.95</v>
      </c>
      <c r="I540" s="5">
        <v>277.95</v>
      </c>
      <c r="J540" s="5">
        <v>132.58000000000001</v>
      </c>
      <c r="K540" s="5">
        <v>132.58000000000001</v>
      </c>
      <c r="L540" s="5">
        <v>132.58000000000001</v>
      </c>
      <c r="M540" s="5">
        <v>132.58000000000001</v>
      </c>
    </row>
    <row r="541" spans="1:13" ht="15" customHeight="1" x14ac:dyDescent="0.35">
      <c r="A541" s="1">
        <v>88</v>
      </c>
      <c r="B541" s="5">
        <v>68.14</v>
      </c>
      <c r="C541" s="5">
        <v>87.32</v>
      </c>
      <c r="D541" s="5">
        <v>108.01</v>
      </c>
      <c r="E541" s="5">
        <v>169.47</v>
      </c>
      <c r="F541" s="5">
        <v>246.31</v>
      </c>
      <c r="G541" s="5">
        <v>265.98</v>
      </c>
      <c r="H541" s="5">
        <v>271.3</v>
      </c>
      <c r="I541" s="5">
        <v>279.36</v>
      </c>
      <c r="J541" s="5">
        <v>135.80000000000001</v>
      </c>
      <c r="K541" s="5">
        <v>135.80000000000001</v>
      </c>
      <c r="L541" s="5">
        <v>135.80000000000001</v>
      </c>
      <c r="M541" s="5">
        <v>135.80000000000001</v>
      </c>
    </row>
    <row r="542" spans="1:13" ht="15" customHeight="1" x14ac:dyDescent="0.35">
      <c r="A542" s="1">
        <v>89</v>
      </c>
      <c r="B542" s="5">
        <v>68.5</v>
      </c>
      <c r="C542" s="5">
        <v>87.69</v>
      </c>
      <c r="D542" s="5">
        <v>108.38</v>
      </c>
      <c r="E542" s="5">
        <v>169.89</v>
      </c>
      <c r="F542" s="5">
        <v>246.71</v>
      </c>
      <c r="G542" s="5">
        <v>266.58</v>
      </c>
      <c r="H542" s="5">
        <v>271.93</v>
      </c>
      <c r="I542" s="5">
        <v>293.27999999999997</v>
      </c>
      <c r="J542" s="5">
        <v>136.12</v>
      </c>
      <c r="K542" s="5">
        <v>136.12</v>
      </c>
      <c r="L542" s="5">
        <v>136.12</v>
      </c>
      <c r="M542" s="5">
        <v>136.12</v>
      </c>
    </row>
    <row r="543" spans="1:13" ht="15" customHeight="1" x14ac:dyDescent="0.35">
      <c r="A543" s="1">
        <v>90</v>
      </c>
      <c r="B543" s="5">
        <v>68.930000000000007</v>
      </c>
      <c r="C543" s="5">
        <v>89.76</v>
      </c>
      <c r="D543" s="5">
        <v>108.75</v>
      </c>
      <c r="E543" s="5">
        <v>170.3</v>
      </c>
      <c r="F543" s="5">
        <v>247.09</v>
      </c>
      <c r="G543" s="5">
        <v>273.25</v>
      </c>
      <c r="H543" s="5">
        <v>284.24</v>
      </c>
      <c r="I543" s="5">
        <v>299.39</v>
      </c>
      <c r="J543" s="5">
        <v>136.38999999999999</v>
      </c>
      <c r="K543" s="5">
        <v>136.38999999999999</v>
      </c>
      <c r="L543" s="5">
        <v>136.38999999999999</v>
      </c>
      <c r="M543" s="5">
        <v>136.38999999999999</v>
      </c>
    </row>
    <row r="544" spans="1:13" ht="15" customHeight="1" x14ac:dyDescent="0.35">
      <c r="A544" s="1">
        <v>91</v>
      </c>
      <c r="B544" s="5">
        <v>69.319999999999993</v>
      </c>
      <c r="C544" s="5">
        <v>90.13</v>
      </c>
      <c r="D544" s="5">
        <v>109.15</v>
      </c>
      <c r="E544" s="5">
        <v>170.73</v>
      </c>
      <c r="F544" s="5">
        <v>247.48</v>
      </c>
      <c r="G544" s="5">
        <v>279.63</v>
      </c>
      <c r="H544" s="5">
        <v>285.49</v>
      </c>
      <c r="I544" s="5">
        <v>300</v>
      </c>
      <c r="J544" s="5">
        <v>136.77000000000001</v>
      </c>
      <c r="K544" s="5">
        <v>136.77000000000001</v>
      </c>
      <c r="L544" s="5">
        <v>136.77000000000001</v>
      </c>
      <c r="M544" s="5">
        <v>136.77000000000001</v>
      </c>
    </row>
    <row r="545" spans="1:13" ht="15" customHeight="1" x14ac:dyDescent="0.35">
      <c r="A545" s="1">
        <v>92</v>
      </c>
      <c r="B545" s="5">
        <v>69.709999999999994</v>
      </c>
      <c r="C545" s="5">
        <v>90.49</v>
      </c>
      <c r="D545" s="5">
        <v>115.34</v>
      </c>
      <c r="E545" s="5">
        <v>171.15</v>
      </c>
      <c r="F545" s="5">
        <v>247.86</v>
      </c>
      <c r="G545" s="5">
        <v>285.31</v>
      </c>
      <c r="H545" s="5">
        <v>291.04000000000002</v>
      </c>
      <c r="I545" s="5">
        <v>300.27</v>
      </c>
      <c r="J545" s="5">
        <v>137.06</v>
      </c>
      <c r="K545" s="5">
        <v>137.06</v>
      </c>
      <c r="L545" s="5">
        <v>137.06</v>
      </c>
      <c r="M545" s="5">
        <v>137.06</v>
      </c>
    </row>
    <row r="546" spans="1:13" ht="15" customHeight="1" x14ac:dyDescent="0.35">
      <c r="A546" s="1">
        <v>93</v>
      </c>
      <c r="B546" s="5">
        <v>70.099999999999994</v>
      </c>
      <c r="C546" s="5">
        <v>90.86</v>
      </c>
      <c r="D546" s="5">
        <v>115.96</v>
      </c>
      <c r="E546" s="5">
        <v>171.56</v>
      </c>
      <c r="F546" s="5">
        <v>248.26</v>
      </c>
      <c r="G546" s="5">
        <v>285.88</v>
      </c>
      <c r="H546" s="5">
        <v>291.60000000000002</v>
      </c>
      <c r="I546" s="5">
        <v>300.52999999999997</v>
      </c>
      <c r="J546" s="5">
        <v>137.32</v>
      </c>
      <c r="K546" s="5">
        <v>137.32</v>
      </c>
      <c r="L546" s="5">
        <v>137.32</v>
      </c>
      <c r="M546" s="5">
        <v>137.32</v>
      </c>
    </row>
    <row r="547" spans="1:13" ht="15" customHeight="1" x14ac:dyDescent="0.35">
      <c r="A547" s="1">
        <v>94</v>
      </c>
      <c r="B547" s="5">
        <v>70.92</v>
      </c>
      <c r="C547" s="5">
        <v>91.23</v>
      </c>
      <c r="D547" s="5">
        <v>119.28</v>
      </c>
      <c r="E547" s="5">
        <v>171.99</v>
      </c>
      <c r="F547" s="5">
        <v>248.64</v>
      </c>
      <c r="G547" s="5">
        <v>286.27</v>
      </c>
      <c r="H547" s="5">
        <v>292</v>
      </c>
      <c r="I547" s="5">
        <v>300.85000000000002</v>
      </c>
      <c r="J547" s="5">
        <v>137.59</v>
      </c>
      <c r="K547" s="5">
        <v>137.59</v>
      </c>
      <c r="L547" s="5">
        <v>137.59</v>
      </c>
      <c r="M547" s="5">
        <v>137.59</v>
      </c>
    </row>
    <row r="548" spans="1:13" ht="15" customHeight="1" x14ac:dyDescent="0.35">
      <c r="A548" s="1">
        <v>95</v>
      </c>
      <c r="B548" s="5">
        <v>71.27</v>
      </c>
      <c r="C548" s="5">
        <v>91.8</v>
      </c>
      <c r="D548" s="5">
        <v>119.66</v>
      </c>
      <c r="E548" s="5">
        <v>172.41</v>
      </c>
      <c r="F548" s="5">
        <v>256.19</v>
      </c>
      <c r="G548" s="5">
        <v>286.66000000000003</v>
      </c>
      <c r="H548" s="5">
        <v>292.39999999999998</v>
      </c>
      <c r="I548" s="5">
        <v>301.2</v>
      </c>
      <c r="J548" s="5">
        <v>137.91999999999999</v>
      </c>
      <c r="K548" s="5">
        <v>137.91999999999999</v>
      </c>
      <c r="L548" s="5">
        <v>137.91999999999999</v>
      </c>
      <c r="M548" s="5">
        <v>137.91999999999999</v>
      </c>
    </row>
    <row r="549" spans="1:13" ht="15" customHeight="1" x14ac:dyDescent="0.35">
      <c r="A549" s="1">
        <v>96</v>
      </c>
      <c r="B549" s="5">
        <v>71.63</v>
      </c>
      <c r="C549" s="5">
        <v>92.16</v>
      </c>
      <c r="D549" s="5">
        <v>120.03</v>
      </c>
      <c r="E549" s="5">
        <v>172.83</v>
      </c>
      <c r="F549" s="5">
        <v>269.45999999999998</v>
      </c>
      <c r="G549" s="5">
        <v>288.43</v>
      </c>
      <c r="H549" s="5">
        <v>294.2</v>
      </c>
      <c r="I549" s="5">
        <v>301.52999999999997</v>
      </c>
      <c r="J549" s="5">
        <v>138.18</v>
      </c>
      <c r="K549" s="5">
        <v>138.18</v>
      </c>
      <c r="L549" s="5">
        <v>138.18</v>
      </c>
      <c r="M549" s="5">
        <v>138.18</v>
      </c>
    </row>
    <row r="550" spans="1:13" ht="15" customHeight="1" x14ac:dyDescent="0.35">
      <c r="A550" s="1">
        <v>97</v>
      </c>
      <c r="B550" s="5">
        <v>71.98</v>
      </c>
      <c r="C550" s="5">
        <v>92.61</v>
      </c>
      <c r="D550" s="5">
        <v>120.39</v>
      </c>
      <c r="E550" s="5">
        <v>173.23</v>
      </c>
      <c r="F550" s="5">
        <v>272.20999999999998</v>
      </c>
      <c r="G550" s="5">
        <v>289.27</v>
      </c>
      <c r="H550" s="5">
        <v>295.06</v>
      </c>
      <c r="I550" s="5">
        <v>307.85000000000002</v>
      </c>
      <c r="J550" s="5">
        <v>142.4</v>
      </c>
      <c r="K550" s="5">
        <v>142.4</v>
      </c>
      <c r="L550" s="5">
        <v>142.4</v>
      </c>
      <c r="M550" s="5">
        <v>142.4</v>
      </c>
    </row>
    <row r="551" spans="1:13" ht="15" customHeight="1" x14ac:dyDescent="0.35">
      <c r="A551" s="1">
        <v>98</v>
      </c>
      <c r="B551" s="5">
        <v>72.33</v>
      </c>
      <c r="C551" s="5">
        <v>92.97</v>
      </c>
      <c r="D551" s="5">
        <v>120.77</v>
      </c>
      <c r="E551" s="5">
        <v>173.59</v>
      </c>
      <c r="F551" s="5">
        <v>273.77999999999997</v>
      </c>
      <c r="G551" s="5">
        <v>297.24</v>
      </c>
      <c r="H551" s="5">
        <v>303.19</v>
      </c>
      <c r="I551" s="5">
        <v>309.25</v>
      </c>
      <c r="J551" s="5">
        <v>142.82</v>
      </c>
      <c r="K551" s="5">
        <v>142.82</v>
      </c>
      <c r="L551" s="5">
        <v>142.82</v>
      </c>
      <c r="M551" s="5">
        <v>142.82</v>
      </c>
    </row>
    <row r="552" spans="1:13" ht="15" customHeight="1" x14ac:dyDescent="0.35">
      <c r="A552" s="1">
        <v>99</v>
      </c>
      <c r="B552" s="5">
        <v>74.09</v>
      </c>
      <c r="C552" s="5">
        <v>93.35</v>
      </c>
      <c r="D552" s="5">
        <v>121.25</v>
      </c>
      <c r="E552" s="5">
        <v>174.57</v>
      </c>
      <c r="F552" s="5">
        <v>283.95</v>
      </c>
      <c r="G552" s="5">
        <v>298.24</v>
      </c>
      <c r="H552" s="5">
        <v>304.2</v>
      </c>
      <c r="I552" s="5">
        <v>313.22000000000003</v>
      </c>
      <c r="J552" s="5">
        <v>148.06</v>
      </c>
      <c r="K552" s="5">
        <v>148.06</v>
      </c>
      <c r="L552" s="5">
        <v>148.06</v>
      </c>
      <c r="M552" s="5">
        <v>148.06</v>
      </c>
    </row>
    <row r="553" spans="1:13" ht="15" customHeight="1" x14ac:dyDescent="0.35">
      <c r="A553" s="1">
        <v>100</v>
      </c>
      <c r="B553" s="5">
        <v>78.599999999999994</v>
      </c>
      <c r="C553" s="5">
        <v>98.89</v>
      </c>
      <c r="D553" s="5">
        <v>129.55000000000001</v>
      </c>
      <c r="E553" s="5">
        <v>192.54</v>
      </c>
      <c r="F553" s="5">
        <v>286.73</v>
      </c>
      <c r="G553" s="5">
        <v>311.75</v>
      </c>
      <c r="H553" s="5">
        <v>320.75</v>
      </c>
      <c r="I553" s="5">
        <v>330.52</v>
      </c>
      <c r="J553" s="5">
        <v>164.11</v>
      </c>
      <c r="K553" s="5">
        <v>164.11</v>
      </c>
      <c r="L553" s="5">
        <v>164.11</v>
      </c>
      <c r="M553" s="5">
        <v>164.11</v>
      </c>
    </row>
    <row r="554" spans="1:13" ht="15" customHeight="1" x14ac:dyDescent="0.35">
      <c r="A554" s="1">
        <v>101</v>
      </c>
      <c r="B554" s="5">
        <v>79.39</v>
      </c>
      <c r="C554" s="5">
        <v>99.88</v>
      </c>
      <c r="D554" s="5">
        <v>130.85</v>
      </c>
      <c r="E554" s="5">
        <v>194.47</v>
      </c>
      <c r="F554" s="5">
        <v>289.60000000000002</v>
      </c>
      <c r="G554" s="5">
        <v>314.87</v>
      </c>
      <c r="H554" s="5">
        <v>323.95999999999998</v>
      </c>
      <c r="I554" s="5">
        <v>333.83</v>
      </c>
      <c r="J554" s="5">
        <v>165.75</v>
      </c>
      <c r="K554" s="5">
        <v>165.75</v>
      </c>
      <c r="L554" s="5">
        <v>165.75</v>
      </c>
      <c r="M554" s="5">
        <v>165.75</v>
      </c>
    </row>
    <row r="555" spans="1:13" ht="15" customHeight="1" x14ac:dyDescent="0.35">
      <c r="A555" s="1">
        <v>102</v>
      </c>
      <c r="B555" s="5">
        <v>80.17</v>
      </c>
      <c r="C555" s="5">
        <v>100.87</v>
      </c>
      <c r="D555" s="5">
        <v>132.13999999999999</v>
      </c>
      <c r="E555" s="5">
        <v>196.39</v>
      </c>
      <c r="F555" s="5">
        <v>292.45999999999998</v>
      </c>
      <c r="G555" s="5">
        <v>317.99</v>
      </c>
      <c r="H555" s="5">
        <v>327.16000000000003</v>
      </c>
      <c r="I555" s="5">
        <v>337.13</v>
      </c>
      <c r="J555" s="5">
        <v>167.39</v>
      </c>
      <c r="K555" s="5">
        <v>167.39</v>
      </c>
      <c r="L555" s="5">
        <v>167.39</v>
      </c>
      <c r="M555" s="5">
        <v>167.39</v>
      </c>
    </row>
    <row r="556" spans="1:13" ht="15" customHeight="1" x14ac:dyDescent="0.35">
      <c r="A556" s="1">
        <v>103</v>
      </c>
      <c r="B556" s="5">
        <v>80.959999999999994</v>
      </c>
      <c r="C556" s="5">
        <v>101.86</v>
      </c>
      <c r="D556" s="5">
        <v>133.44</v>
      </c>
      <c r="E556" s="5">
        <v>198.32</v>
      </c>
      <c r="F556" s="5">
        <v>295.33999999999997</v>
      </c>
      <c r="G556" s="5">
        <v>321.10000000000002</v>
      </c>
      <c r="H556" s="5">
        <v>330.37</v>
      </c>
      <c r="I556" s="5">
        <v>340.44</v>
      </c>
      <c r="J556" s="5">
        <v>169.03</v>
      </c>
      <c r="K556" s="5">
        <v>169.03</v>
      </c>
      <c r="L556" s="5">
        <v>169.03</v>
      </c>
      <c r="M556" s="5">
        <v>169.03</v>
      </c>
    </row>
    <row r="557" spans="1:13" ht="15" customHeight="1" x14ac:dyDescent="0.35">
      <c r="A557" s="1">
        <v>104</v>
      </c>
      <c r="B557" s="5">
        <v>81.739999999999995</v>
      </c>
      <c r="C557" s="5">
        <v>102.85</v>
      </c>
      <c r="D557" s="5">
        <v>134.72999999999999</v>
      </c>
      <c r="E557" s="5">
        <v>200.24</v>
      </c>
      <c r="F557" s="5">
        <v>298.2</v>
      </c>
      <c r="G557" s="5">
        <v>324.22000000000003</v>
      </c>
      <c r="H557" s="5">
        <v>333.58</v>
      </c>
      <c r="I557" s="5">
        <v>343.74</v>
      </c>
      <c r="J557" s="5">
        <v>170.67</v>
      </c>
      <c r="K557" s="5">
        <v>170.67</v>
      </c>
      <c r="L557" s="5">
        <v>170.67</v>
      </c>
      <c r="M557" s="5">
        <v>170.67</v>
      </c>
    </row>
    <row r="558" spans="1:13" ht="15" customHeight="1" x14ac:dyDescent="0.35">
      <c r="A558" s="1">
        <v>105</v>
      </c>
      <c r="B558" s="5">
        <v>82.53</v>
      </c>
      <c r="C558" s="5">
        <v>103.83</v>
      </c>
      <c r="D558" s="5">
        <v>136.03</v>
      </c>
      <c r="E558" s="5">
        <v>202.17</v>
      </c>
      <c r="F558" s="5">
        <v>301.07</v>
      </c>
      <c r="G558" s="5">
        <v>327.33999999999997</v>
      </c>
      <c r="H558" s="5">
        <v>336.79</v>
      </c>
      <c r="I558" s="5">
        <v>347.04</v>
      </c>
      <c r="J558" s="5">
        <v>172.32</v>
      </c>
      <c r="K558" s="5">
        <v>172.32</v>
      </c>
      <c r="L558" s="5">
        <v>172.32</v>
      </c>
      <c r="M558" s="5">
        <v>172.32</v>
      </c>
    </row>
    <row r="559" spans="1:13" ht="15" customHeight="1" x14ac:dyDescent="0.35">
      <c r="A559" s="1">
        <v>106</v>
      </c>
      <c r="B559" s="5">
        <v>83.32</v>
      </c>
      <c r="C559" s="5">
        <v>104.82</v>
      </c>
      <c r="D559" s="5">
        <v>137.32</v>
      </c>
      <c r="E559" s="5">
        <v>204.09</v>
      </c>
      <c r="F559" s="5">
        <v>303.94</v>
      </c>
      <c r="G559" s="5">
        <v>330.46</v>
      </c>
      <c r="H559" s="5">
        <v>339.99</v>
      </c>
      <c r="I559" s="5">
        <v>350.34</v>
      </c>
      <c r="J559" s="5">
        <v>173.96</v>
      </c>
      <c r="K559" s="5">
        <v>173.96</v>
      </c>
      <c r="L559" s="5">
        <v>173.96</v>
      </c>
      <c r="M559" s="5">
        <v>173.96</v>
      </c>
    </row>
    <row r="560" spans="1:13" ht="15" customHeight="1" x14ac:dyDescent="0.35">
      <c r="A560" s="1">
        <v>107</v>
      </c>
      <c r="B560" s="5">
        <v>84.1</v>
      </c>
      <c r="C560" s="5">
        <v>105.81</v>
      </c>
      <c r="D560" s="5">
        <v>138.62</v>
      </c>
      <c r="E560" s="5">
        <v>206.02</v>
      </c>
      <c r="F560" s="5">
        <v>306.8</v>
      </c>
      <c r="G560" s="5">
        <v>333.58</v>
      </c>
      <c r="H560" s="5">
        <v>343.2</v>
      </c>
      <c r="I560" s="5">
        <v>353.65</v>
      </c>
      <c r="J560" s="5">
        <v>175.6</v>
      </c>
      <c r="K560" s="5">
        <v>175.6</v>
      </c>
      <c r="L560" s="5">
        <v>175.6</v>
      </c>
      <c r="M560" s="5">
        <v>175.6</v>
      </c>
    </row>
    <row r="561" spans="1:13" ht="15" customHeight="1" x14ac:dyDescent="0.35">
      <c r="A561" s="1">
        <v>108</v>
      </c>
      <c r="B561" s="5">
        <v>84.89</v>
      </c>
      <c r="C561" s="5">
        <v>106.8</v>
      </c>
      <c r="D561" s="5">
        <v>139.91</v>
      </c>
      <c r="E561" s="5">
        <v>207.94</v>
      </c>
      <c r="F561" s="5">
        <v>309.68</v>
      </c>
      <c r="G561" s="5">
        <v>336.7</v>
      </c>
      <c r="H561" s="5">
        <v>346.41</v>
      </c>
      <c r="I561" s="5">
        <v>356.95</v>
      </c>
      <c r="J561" s="5">
        <v>177.24</v>
      </c>
      <c r="K561" s="5">
        <v>177.24</v>
      </c>
      <c r="L561" s="5">
        <v>177.24</v>
      </c>
      <c r="M561" s="5">
        <v>177.24</v>
      </c>
    </row>
    <row r="562" spans="1:13" ht="15" customHeight="1" x14ac:dyDescent="0.35">
      <c r="A562" s="1">
        <v>109</v>
      </c>
      <c r="B562" s="5">
        <v>85.67</v>
      </c>
      <c r="C562" s="5">
        <v>107.79</v>
      </c>
      <c r="D562" s="5">
        <v>141.21</v>
      </c>
      <c r="E562" s="5">
        <v>209.87</v>
      </c>
      <c r="F562" s="5">
        <v>312.54000000000002</v>
      </c>
      <c r="G562" s="5">
        <v>339.81</v>
      </c>
      <c r="H562" s="5">
        <v>349.62</v>
      </c>
      <c r="I562" s="5">
        <v>360.26</v>
      </c>
      <c r="J562" s="5">
        <v>178.88</v>
      </c>
      <c r="K562" s="5">
        <v>178.88</v>
      </c>
      <c r="L562" s="5">
        <v>178.88</v>
      </c>
      <c r="M562" s="5">
        <v>178.88</v>
      </c>
    </row>
    <row r="563" spans="1:13" ht="15" customHeight="1" x14ac:dyDescent="0.35">
      <c r="A563" s="1">
        <v>110</v>
      </c>
      <c r="B563" s="5">
        <v>86.46</v>
      </c>
      <c r="C563" s="5">
        <v>108.78</v>
      </c>
      <c r="D563" s="5">
        <v>142.5</v>
      </c>
      <c r="E563" s="5">
        <v>211.79</v>
      </c>
      <c r="F563" s="5">
        <v>315.41000000000003</v>
      </c>
      <c r="G563" s="5">
        <v>342.92</v>
      </c>
      <c r="H563" s="5">
        <v>352.82</v>
      </c>
      <c r="I563" s="5">
        <v>363.57</v>
      </c>
      <c r="J563" s="5">
        <v>180.52</v>
      </c>
      <c r="K563" s="5">
        <v>180.52</v>
      </c>
      <c r="L563" s="5">
        <v>180.52</v>
      </c>
      <c r="M563" s="5">
        <v>180.52</v>
      </c>
    </row>
    <row r="564" spans="1:13" ht="15" customHeight="1" x14ac:dyDescent="0.35">
      <c r="A564" s="1">
        <v>111</v>
      </c>
      <c r="B564" s="5">
        <v>87.25</v>
      </c>
      <c r="C564" s="5">
        <v>109.77</v>
      </c>
      <c r="D564" s="5">
        <v>143.80000000000001</v>
      </c>
      <c r="E564" s="5">
        <v>213.72</v>
      </c>
      <c r="F564" s="5">
        <v>318.27</v>
      </c>
      <c r="G564" s="5">
        <v>346.04</v>
      </c>
      <c r="H564" s="5">
        <v>356.03</v>
      </c>
      <c r="I564" s="5">
        <v>366.87</v>
      </c>
      <c r="J564" s="5">
        <v>182.16</v>
      </c>
      <c r="K564" s="5">
        <v>182.16</v>
      </c>
      <c r="L564" s="5">
        <v>182.16</v>
      </c>
      <c r="M564" s="5">
        <v>182.16</v>
      </c>
    </row>
    <row r="565" spans="1:13" ht="15" customHeight="1" x14ac:dyDescent="0.35">
      <c r="A565" s="1">
        <v>112</v>
      </c>
      <c r="B565" s="5">
        <v>88.03</v>
      </c>
      <c r="C565" s="5">
        <v>110.76</v>
      </c>
      <c r="D565" s="5">
        <v>145.1</v>
      </c>
      <c r="E565" s="5">
        <v>215.64</v>
      </c>
      <c r="F565" s="5">
        <v>321.14</v>
      </c>
      <c r="G565" s="5">
        <v>349.16</v>
      </c>
      <c r="H565" s="5">
        <v>359.24</v>
      </c>
      <c r="I565" s="5">
        <v>370.18</v>
      </c>
      <c r="J565" s="5">
        <v>183.8</v>
      </c>
      <c r="K565" s="5">
        <v>183.8</v>
      </c>
      <c r="L565" s="5">
        <v>183.8</v>
      </c>
      <c r="M565" s="5">
        <v>183.8</v>
      </c>
    </row>
    <row r="566" spans="1:13" ht="15" customHeight="1" x14ac:dyDescent="0.35">
      <c r="A566" s="1">
        <v>113</v>
      </c>
      <c r="B566" s="5">
        <v>88.82</v>
      </c>
      <c r="C566" s="5">
        <v>111.75</v>
      </c>
      <c r="D566" s="5">
        <v>146.38999999999999</v>
      </c>
      <c r="E566" s="5">
        <v>217.57</v>
      </c>
      <c r="F566" s="5">
        <v>324</v>
      </c>
      <c r="G566" s="5">
        <v>352.28</v>
      </c>
      <c r="H566" s="5">
        <v>362.45</v>
      </c>
      <c r="I566" s="5">
        <v>373.48</v>
      </c>
      <c r="J566" s="5">
        <v>185.44</v>
      </c>
      <c r="K566" s="5">
        <v>185.44</v>
      </c>
      <c r="L566" s="5">
        <v>185.44</v>
      </c>
      <c r="M566" s="5">
        <v>185.44</v>
      </c>
    </row>
    <row r="567" spans="1:13" ht="15" customHeight="1" x14ac:dyDescent="0.35">
      <c r="A567" s="1">
        <v>114</v>
      </c>
      <c r="B567" s="5">
        <v>89.6</v>
      </c>
      <c r="C567" s="5">
        <v>112.73</v>
      </c>
      <c r="D567" s="5">
        <v>147.69</v>
      </c>
      <c r="E567" s="5">
        <v>219.5</v>
      </c>
      <c r="F567" s="5">
        <v>326.88</v>
      </c>
      <c r="G567" s="5">
        <v>355.4</v>
      </c>
      <c r="H567" s="5">
        <v>365.65</v>
      </c>
      <c r="I567" s="5">
        <v>376.79</v>
      </c>
      <c r="J567" s="5">
        <v>187.09</v>
      </c>
      <c r="K567" s="5">
        <v>187.09</v>
      </c>
      <c r="L567" s="5">
        <v>187.09</v>
      </c>
      <c r="M567" s="5">
        <v>187.09</v>
      </c>
    </row>
    <row r="568" spans="1:13" ht="15" customHeight="1" x14ac:dyDescent="0.35">
      <c r="A568" s="1">
        <v>115</v>
      </c>
      <c r="B568" s="5">
        <v>90.39</v>
      </c>
      <c r="C568" s="5">
        <v>113.72</v>
      </c>
      <c r="D568" s="5">
        <v>148.97999999999999</v>
      </c>
      <c r="E568" s="5">
        <v>221.42</v>
      </c>
      <c r="F568" s="5">
        <v>329.74</v>
      </c>
      <c r="G568" s="5">
        <v>358.51</v>
      </c>
      <c r="H568" s="5">
        <v>368.86</v>
      </c>
      <c r="I568" s="5">
        <v>380.09</v>
      </c>
      <c r="J568" s="5">
        <v>188.73</v>
      </c>
      <c r="K568" s="5">
        <v>188.73</v>
      </c>
      <c r="L568" s="5">
        <v>188.73</v>
      </c>
      <c r="M568" s="5">
        <v>188.73</v>
      </c>
    </row>
    <row r="569" spans="1:13" ht="15" customHeight="1" x14ac:dyDescent="0.35">
      <c r="A569" s="1">
        <v>116</v>
      </c>
      <c r="B569" s="5">
        <v>91.18</v>
      </c>
      <c r="C569" s="5">
        <v>114.71</v>
      </c>
      <c r="D569" s="5">
        <v>150.28</v>
      </c>
      <c r="E569" s="5">
        <v>223.35</v>
      </c>
      <c r="F569" s="5">
        <v>332.61</v>
      </c>
      <c r="G569" s="5">
        <v>361.63</v>
      </c>
      <c r="H569" s="5">
        <v>372.07</v>
      </c>
      <c r="I569" s="5">
        <v>383.4</v>
      </c>
      <c r="J569" s="5">
        <v>190.37</v>
      </c>
      <c r="K569" s="5">
        <v>190.37</v>
      </c>
      <c r="L569" s="5">
        <v>190.37</v>
      </c>
      <c r="M569" s="5">
        <v>190.37</v>
      </c>
    </row>
    <row r="570" spans="1:13" ht="15" customHeight="1" x14ac:dyDescent="0.35">
      <c r="A570" s="1">
        <v>117</v>
      </c>
      <c r="B570" s="5">
        <v>91.96</v>
      </c>
      <c r="C570" s="5">
        <v>115.7</v>
      </c>
      <c r="D570" s="5">
        <v>151.57</v>
      </c>
      <c r="E570" s="5">
        <v>225.27</v>
      </c>
      <c r="F570" s="5">
        <v>335.48</v>
      </c>
      <c r="G570" s="5">
        <v>364.75</v>
      </c>
      <c r="H570" s="5">
        <v>375.28</v>
      </c>
      <c r="I570" s="5">
        <v>386.71</v>
      </c>
      <c r="J570" s="5">
        <v>192.01</v>
      </c>
      <c r="K570" s="5">
        <v>192.01</v>
      </c>
      <c r="L570" s="5">
        <v>192.01</v>
      </c>
      <c r="M570" s="5">
        <v>192.01</v>
      </c>
    </row>
    <row r="571" spans="1:13" ht="15" customHeight="1" x14ac:dyDescent="0.35">
      <c r="A571" s="1">
        <v>118</v>
      </c>
      <c r="B571" s="5">
        <v>92.75</v>
      </c>
      <c r="C571" s="5">
        <v>116.69</v>
      </c>
      <c r="D571" s="5">
        <v>152.87</v>
      </c>
      <c r="E571" s="5">
        <v>227.2</v>
      </c>
      <c r="F571" s="5">
        <v>338.34</v>
      </c>
      <c r="G571" s="5">
        <v>367.87</v>
      </c>
      <c r="H571" s="5">
        <v>378.48</v>
      </c>
      <c r="I571" s="5">
        <v>390.01</v>
      </c>
      <c r="J571" s="5">
        <v>193.65</v>
      </c>
      <c r="K571" s="5">
        <v>193.65</v>
      </c>
      <c r="L571" s="5">
        <v>193.65</v>
      </c>
      <c r="M571" s="5">
        <v>193.65</v>
      </c>
    </row>
    <row r="572" spans="1:13" ht="15" customHeight="1" x14ac:dyDescent="0.35">
      <c r="A572" s="1">
        <v>119</v>
      </c>
      <c r="B572" s="5">
        <v>93.53</v>
      </c>
      <c r="C572" s="5">
        <v>117.68</v>
      </c>
      <c r="D572" s="5">
        <v>154.16</v>
      </c>
      <c r="E572" s="5">
        <v>229.12</v>
      </c>
      <c r="F572" s="5">
        <v>341.22</v>
      </c>
      <c r="G572" s="5">
        <v>370.99</v>
      </c>
      <c r="H572" s="5">
        <v>381.69</v>
      </c>
      <c r="I572" s="5">
        <v>393.32</v>
      </c>
      <c r="J572" s="5">
        <v>195.29</v>
      </c>
      <c r="K572" s="5">
        <v>195.29</v>
      </c>
      <c r="L572" s="5">
        <v>195.29</v>
      </c>
      <c r="M572" s="5">
        <v>195.29</v>
      </c>
    </row>
    <row r="573" spans="1:13" ht="15" customHeight="1" x14ac:dyDescent="0.35">
      <c r="A573" s="1">
        <v>120</v>
      </c>
      <c r="B573" s="5">
        <v>94.32</v>
      </c>
      <c r="C573" s="5">
        <v>118.67</v>
      </c>
      <c r="D573" s="5">
        <v>155.46</v>
      </c>
      <c r="E573" s="5">
        <v>231.05</v>
      </c>
      <c r="F573" s="5">
        <v>344.08</v>
      </c>
      <c r="G573" s="5">
        <v>374.11</v>
      </c>
      <c r="H573" s="5">
        <v>384.9</v>
      </c>
      <c r="I573" s="5">
        <v>396.62</v>
      </c>
      <c r="J573" s="5">
        <v>196.93</v>
      </c>
      <c r="K573" s="5">
        <v>196.93</v>
      </c>
      <c r="L573" s="5">
        <v>196.93</v>
      </c>
      <c r="M573" s="5">
        <v>196.93</v>
      </c>
    </row>
    <row r="574" spans="1:13" ht="15" customHeight="1" x14ac:dyDescent="0.35">
      <c r="A574" s="1">
        <v>121</v>
      </c>
      <c r="B574" s="5">
        <v>95.11</v>
      </c>
      <c r="C574" s="5">
        <v>119.66</v>
      </c>
      <c r="D574" s="5">
        <v>156.76</v>
      </c>
      <c r="E574" s="5">
        <v>232.97</v>
      </c>
      <c r="F574" s="5">
        <v>346.95</v>
      </c>
      <c r="G574" s="5">
        <v>377.22</v>
      </c>
      <c r="H574" s="5">
        <v>388.11</v>
      </c>
      <c r="I574" s="5">
        <v>399.93</v>
      </c>
      <c r="J574" s="5">
        <v>198.57</v>
      </c>
      <c r="K574" s="5">
        <v>198.57</v>
      </c>
      <c r="L574" s="5">
        <v>198.57</v>
      </c>
      <c r="M574" s="5">
        <v>198.57</v>
      </c>
    </row>
    <row r="575" spans="1:13" ht="15" customHeight="1" x14ac:dyDescent="0.35">
      <c r="A575" s="1">
        <v>122</v>
      </c>
      <c r="B575" s="5">
        <v>95.89</v>
      </c>
      <c r="C575" s="5">
        <v>120.65</v>
      </c>
      <c r="D575" s="5">
        <v>158.05000000000001</v>
      </c>
      <c r="E575" s="5">
        <v>234.9</v>
      </c>
      <c r="F575" s="5">
        <v>349.81</v>
      </c>
      <c r="G575" s="5">
        <v>380.34</v>
      </c>
      <c r="H575" s="5">
        <v>391.31</v>
      </c>
      <c r="I575" s="5">
        <v>403.23</v>
      </c>
      <c r="J575" s="5">
        <v>200.21</v>
      </c>
      <c r="K575" s="5">
        <v>200.21</v>
      </c>
      <c r="L575" s="5">
        <v>200.21</v>
      </c>
      <c r="M575" s="5">
        <v>200.21</v>
      </c>
    </row>
    <row r="576" spans="1:13" ht="15" customHeight="1" x14ac:dyDescent="0.35">
      <c r="A576" s="1">
        <v>123</v>
      </c>
      <c r="B576" s="5">
        <v>96.68</v>
      </c>
      <c r="C576" s="5">
        <v>121.63</v>
      </c>
      <c r="D576" s="5">
        <v>159.35</v>
      </c>
      <c r="E576" s="5">
        <v>236.82</v>
      </c>
      <c r="F576" s="5">
        <v>352.68</v>
      </c>
      <c r="G576" s="5">
        <v>383.45</v>
      </c>
      <c r="H576" s="5">
        <v>394.52</v>
      </c>
      <c r="I576" s="5">
        <v>406.54</v>
      </c>
      <c r="J576" s="5">
        <v>201.86</v>
      </c>
      <c r="K576" s="5">
        <v>201.86</v>
      </c>
      <c r="L576" s="5">
        <v>201.86</v>
      </c>
      <c r="M576" s="5">
        <v>201.86</v>
      </c>
    </row>
    <row r="577" spans="1:13" ht="15" customHeight="1" x14ac:dyDescent="0.35">
      <c r="A577" s="1">
        <v>124</v>
      </c>
      <c r="B577" s="5">
        <v>97.46</v>
      </c>
      <c r="C577" s="5">
        <v>122.62</v>
      </c>
      <c r="D577" s="5">
        <v>160.63999999999999</v>
      </c>
      <c r="E577" s="5">
        <v>238.75</v>
      </c>
      <c r="F577" s="5">
        <v>355.55</v>
      </c>
      <c r="G577" s="5">
        <v>386.57</v>
      </c>
      <c r="H577" s="5">
        <v>397.73</v>
      </c>
      <c r="I577" s="5">
        <v>409.84</v>
      </c>
      <c r="J577" s="5">
        <v>203.5</v>
      </c>
      <c r="K577" s="5">
        <v>203.5</v>
      </c>
      <c r="L577" s="5">
        <v>203.5</v>
      </c>
      <c r="M577" s="5">
        <v>203.5</v>
      </c>
    </row>
    <row r="578" spans="1:13" ht="15" customHeight="1" x14ac:dyDescent="0.35">
      <c r="A578" s="1">
        <v>125</v>
      </c>
      <c r="B578" s="5">
        <v>98.25</v>
      </c>
      <c r="C578" s="5">
        <v>123.61</v>
      </c>
      <c r="D578" s="5">
        <v>161.94</v>
      </c>
      <c r="E578" s="5">
        <v>240.67</v>
      </c>
      <c r="F578" s="5">
        <v>358.42</v>
      </c>
      <c r="G578" s="5">
        <v>389.69</v>
      </c>
      <c r="H578" s="5">
        <v>400.94</v>
      </c>
      <c r="I578" s="5">
        <v>413.15</v>
      </c>
      <c r="J578" s="5">
        <v>205.14</v>
      </c>
      <c r="K578" s="5">
        <v>205.14</v>
      </c>
      <c r="L578" s="5">
        <v>205.14</v>
      </c>
      <c r="M578" s="5">
        <v>205.14</v>
      </c>
    </row>
    <row r="579" spans="1:13" ht="15" customHeight="1" x14ac:dyDescent="0.35">
      <c r="A579" s="1">
        <v>126</v>
      </c>
      <c r="B579" s="5">
        <v>99.04</v>
      </c>
      <c r="C579" s="5">
        <v>124.6</v>
      </c>
      <c r="D579" s="5">
        <v>163.22999999999999</v>
      </c>
      <c r="E579" s="5">
        <v>242.6</v>
      </c>
      <c r="F579" s="5">
        <v>361.28</v>
      </c>
      <c r="G579" s="5">
        <v>392.81</v>
      </c>
      <c r="H579" s="5">
        <v>404.14</v>
      </c>
      <c r="I579" s="5">
        <v>416.46</v>
      </c>
      <c r="J579" s="5">
        <v>206.78</v>
      </c>
      <c r="K579" s="5">
        <v>206.78</v>
      </c>
      <c r="L579" s="5">
        <v>206.78</v>
      </c>
      <c r="M579" s="5">
        <v>206.78</v>
      </c>
    </row>
    <row r="580" spans="1:13" ht="15" customHeight="1" x14ac:dyDescent="0.35">
      <c r="A580" s="1">
        <v>127</v>
      </c>
      <c r="B580" s="5">
        <v>99.82</v>
      </c>
      <c r="C580" s="5">
        <v>125.59</v>
      </c>
      <c r="D580" s="5">
        <v>164.53</v>
      </c>
      <c r="E580" s="5">
        <v>244.53</v>
      </c>
      <c r="F580" s="5">
        <v>364.15</v>
      </c>
      <c r="G580" s="5">
        <v>395.92</v>
      </c>
      <c r="H580" s="5">
        <v>407.35</v>
      </c>
      <c r="I580" s="5">
        <v>419.76</v>
      </c>
      <c r="J580" s="5">
        <v>208.42</v>
      </c>
      <c r="K580" s="5">
        <v>208.42</v>
      </c>
      <c r="L580" s="5">
        <v>208.42</v>
      </c>
      <c r="M580" s="5">
        <v>208.42</v>
      </c>
    </row>
    <row r="581" spans="1:13" ht="15" customHeight="1" x14ac:dyDescent="0.35">
      <c r="A581" s="1">
        <v>128</v>
      </c>
      <c r="B581" s="5">
        <v>100.61</v>
      </c>
      <c r="C581" s="5">
        <v>126.58</v>
      </c>
      <c r="D581" s="5">
        <v>165.82</v>
      </c>
      <c r="E581" s="5">
        <v>246.45</v>
      </c>
      <c r="F581" s="5">
        <v>367.02</v>
      </c>
      <c r="G581" s="5">
        <v>399.04</v>
      </c>
      <c r="H581" s="5">
        <v>410.56</v>
      </c>
      <c r="I581" s="5">
        <v>423.06</v>
      </c>
      <c r="J581" s="5">
        <v>210.06</v>
      </c>
      <c r="K581" s="5">
        <v>210.06</v>
      </c>
      <c r="L581" s="5">
        <v>210.06</v>
      </c>
      <c r="M581" s="5">
        <v>210.06</v>
      </c>
    </row>
    <row r="582" spans="1:13" ht="15" customHeight="1" x14ac:dyDescent="0.35">
      <c r="A582" s="1">
        <v>129</v>
      </c>
      <c r="B582" s="5">
        <v>101.39</v>
      </c>
      <c r="C582" s="5">
        <v>127.57</v>
      </c>
      <c r="D582" s="5">
        <v>167.12</v>
      </c>
      <c r="E582" s="5">
        <v>248.38</v>
      </c>
      <c r="F582" s="5">
        <v>369.89</v>
      </c>
      <c r="G582" s="5">
        <v>402.16</v>
      </c>
      <c r="H582" s="5">
        <v>413.77</v>
      </c>
      <c r="I582" s="5">
        <v>426.36</v>
      </c>
      <c r="J582" s="5">
        <v>211.7</v>
      </c>
      <c r="K582" s="5">
        <v>211.7</v>
      </c>
      <c r="L582" s="5">
        <v>211.7</v>
      </c>
      <c r="M582" s="5">
        <v>211.7</v>
      </c>
    </row>
    <row r="583" spans="1:13" ht="15" customHeight="1" x14ac:dyDescent="0.35">
      <c r="A583" s="1">
        <v>130</v>
      </c>
      <c r="B583" s="5">
        <v>102.18</v>
      </c>
      <c r="C583" s="5">
        <v>128.56</v>
      </c>
      <c r="D583" s="5">
        <v>168.41</v>
      </c>
      <c r="E583" s="5">
        <v>250.3</v>
      </c>
      <c r="F583" s="5">
        <v>372.76</v>
      </c>
      <c r="G583" s="5">
        <v>405.28</v>
      </c>
      <c r="H583" s="5">
        <v>416.97</v>
      </c>
      <c r="I583" s="5">
        <v>429.67</v>
      </c>
      <c r="J583" s="5">
        <v>213.34</v>
      </c>
      <c r="K583" s="5">
        <v>213.34</v>
      </c>
      <c r="L583" s="5">
        <v>213.34</v>
      </c>
      <c r="M583" s="5">
        <v>213.34</v>
      </c>
    </row>
    <row r="584" spans="1:13" ht="15" customHeight="1" x14ac:dyDescent="0.35">
      <c r="A584" s="1">
        <v>131</v>
      </c>
      <c r="B584" s="5">
        <v>102.97</v>
      </c>
      <c r="C584" s="5">
        <v>129.55000000000001</v>
      </c>
      <c r="D584" s="5">
        <v>169.71</v>
      </c>
      <c r="E584" s="5">
        <v>252.23</v>
      </c>
      <c r="F584" s="5">
        <v>375.62</v>
      </c>
      <c r="G584" s="5">
        <v>408.4</v>
      </c>
      <c r="H584" s="5">
        <v>420.18</v>
      </c>
      <c r="I584" s="5">
        <v>432.97</v>
      </c>
      <c r="J584" s="5">
        <v>214.98</v>
      </c>
      <c r="K584" s="5">
        <v>214.98</v>
      </c>
      <c r="L584" s="5">
        <v>214.98</v>
      </c>
      <c r="M584" s="5">
        <v>214.98</v>
      </c>
    </row>
    <row r="585" spans="1:13" ht="15" customHeight="1" x14ac:dyDescent="0.35">
      <c r="A585" s="1">
        <v>132</v>
      </c>
      <c r="B585" s="5">
        <v>103.75</v>
      </c>
      <c r="C585" s="5">
        <v>130.53</v>
      </c>
      <c r="D585" s="5">
        <v>171.01</v>
      </c>
      <c r="E585" s="5">
        <v>254.15</v>
      </c>
      <c r="F585" s="5">
        <v>378.49</v>
      </c>
      <c r="G585" s="5">
        <v>411.52</v>
      </c>
      <c r="H585" s="5">
        <v>423.39</v>
      </c>
      <c r="I585" s="5">
        <v>436.28</v>
      </c>
      <c r="J585" s="5">
        <v>216.63</v>
      </c>
      <c r="K585" s="5">
        <v>216.63</v>
      </c>
      <c r="L585" s="5">
        <v>216.63</v>
      </c>
      <c r="M585" s="5">
        <v>216.63</v>
      </c>
    </row>
    <row r="586" spans="1:13" ht="15" customHeight="1" x14ac:dyDescent="0.35">
      <c r="A586" s="1">
        <v>133</v>
      </c>
      <c r="B586" s="5">
        <v>104.54</v>
      </c>
      <c r="C586" s="5">
        <v>131.52000000000001</v>
      </c>
      <c r="D586" s="5">
        <v>172.3</v>
      </c>
      <c r="E586" s="5">
        <v>256.08</v>
      </c>
      <c r="F586" s="5">
        <v>381.35</v>
      </c>
      <c r="G586" s="5">
        <v>414.63</v>
      </c>
      <c r="H586" s="5">
        <v>426.6</v>
      </c>
      <c r="I586" s="5">
        <v>439.58</v>
      </c>
      <c r="J586" s="5">
        <v>218.27</v>
      </c>
      <c r="K586" s="5">
        <v>218.27</v>
      </c>
      <c r="L586" s="5">
        <v>218.27</v>
      </c>
      <c r="M586" s="5">
        <v>218.27</v>
      </c>
    </row>
    <row r="587" spans="1:13" ht="15" customHeight="1" x14ac:dyDescent="0.35">
      <c r="A587" s="1">
        <v>134</v>
      </c>
      <c r="B587" s="5">
        <v>105.32</v>
      </c>
      <c r="C587" s="5">
        <v>132.51</v>
      </c>
      <c r="D587" s="5">
        <v>173.6</v>
      </c>
      <c r="E587" s="5">
        <v>258</v>
      </c>
      <c r="F587" s="5">
        <v>384.22</v>
      </c>
      <c r="G587" s="5">
        <v>417.75</v>
      </c>
      <c r="H587" s="5">
        <v>429.8</v>
      </c>
      <c r="I587" s="5">
        <v>442.89</v>
      </c>
      <c r="J587" s="5">
        <v>219.91</v>
      </c>
      <c r="K587" s="5">
        <v>219.91</v>
      </c>
      <c r="L587" s="5">
        <v>219.91</v>
      </c>
      <c r="M587" s="5">
        <v>219.91</v>
      </c>
    </row>
    <row r="588" spans="1:13" ht="15" customHeight="1" x14ac:dyDescent="0.35">
      <c r="A588" s="1">
        <v>135</v>
      </c>
      <c r="B588" s="5">
        <v>106.11</v>
      </c>
      <c r="C588" s="5">
        <v>133.5</v>
      </c>
      <c r="D588" s="5">
        <v>174.89</v>
      </c>
      <c r="E588" s="5">
        <v>259.93</v>
      </c>
      <c r="F588" s="5">
        <v>387.09</v>
      </c>
      <c r="G588" s="5">
        <v>420.87</v>
      </c>
      <c r="H588" s="5">
        <v>433.01</v>
      </c>
      <c r="I588" s="5">
        <v>446.2</v>
      </c>
      <c r="J588" s="5">
        <v>221.55</v>
      </c>
      <c r="K588" s="5">
        <v>221.55</v>
      </c>
      <c r="L588" s="5">
        <v>221.55</v>
      </c>
      <c r="M588" s="5">
        <v>221.55</v>
      </c>
    </row>
    <row r="589" spans="1:13" ht="15" customHeight="1" x14ac:dyDescent="0.35">
      <c r="A589" s="1">
        <v>136</v>
      </c>
      <c r="B589" s="5">
        <v>106.9</v>
      </c>
      <c r="C589" s="5">
        <v>134.49</v>
      </c>
      <c r="D589" s="5">
        <v>176.19</v>
      </c>
      <c r="E589" s="5">
        <v>261.85000000000002</v>
      </c>
      <c r="F589" s="5">
        <v>389.96</v>
      </c>
      <c r="G589" s="5">
        <v>423.98</v>
      </c>
      <c r="H589" s="5">
        <v>436.22</v>
      </c>
      <c r="I589" s="5">
        <v>449.5</v>
      </c>
      <c r="J589" s="5">
        <v>223.19</v>
      </c>
      <c r="K589" s="5">
        <v>223.19</v>
      </c>
      <c r="L589" s="5">
        <v>223.19</v>
      </c>
      <c r="M589" s="5">
        <v>223.19</v>
      </c>
    </row>
    <row r="590" spans="1:13" ht="15" customHeight="1" x14ac:dyDescent="0.35">
      <c r="A590" s="1">
        <v>137</v>
      </c>
      <c r="B590" s="5">
        <v>107.68</v>
      </c>
      <c r="C590" s="5">
        <v>135.47999999999999</v>
      </c>
      <c r="D590" s="5">
        <v>177.48</v>
      </c>
      <c r="E590" s="5">
        <v>263.77999999999997</v>
      </c>
      <c r="F590" s="5">
        <v>392.82</v>
      </c>
      <c r="G590" s="5">
        <v>427.1</v>
      </c>
      <c r="H590" s="5">
        <v>439.43</v>
      </c>
      <c r="I590" s="5">
        <v>452.81</v>
      </c>
      <c r="J590" s="5">
        <v>224.83</v>
      </c>
      <c r="K590" s="5">
        <v>224.83</v>
      </c>
      <c r="L590" s="5">
        <v>224.83</v>
      </c>
      <c r="M590" s="5">
        <v>224.83</v>
      </c>
    </row>
    <row r="591" spans="1:13" ht="15" customHeight="1" x14ac:dyDescent="0.35">
      <c r="A591" s="1">
        <v>138</v>
      </c>
      <c r="B591" s="5">
        <v>108.47</v>
      </c>
      <c r="C591" s="5">
        <v>136.47</v>
      </c>
      <c r="D591" s="5">
        <v>178.78</v>
      </c>
      <c r="E591" s="5">
        <v>265.70999999999998</v>
      </c>
      <c r="F591" s="5">
        <v>395.69</v>
      </c>
      <c r="G591" s="5">
        <v>430.22</v>
      </c>
      <c r="H591" s="5">
        <v>442.63</v>
      </c>
      <c r="I591" s="5">
        <v>456.11</v>
      </c>
      <c r="J591" s="5">
        <v>226.47</v>
      </c>
      <c r="K591" s="5">
        <v>226.47</v>
      </c>
      <c r="L591" s="5">
        <v>226.47</v>
      </c>
      <c r="M591" s="5">
        <v>226.47</v>
      </c>
    </row>
    <row r="592" spans="1:13" ht="15" customHeight="1" x14ac:dyDescent="0.35">
      <c r="A592" s="1">
        <v>139</v>
      </c>
      <c r="B592" s="5">
        <v>109.25</v>
      </c>
      <c r="C592" s="5">
        <v>137.46</v>
      </c>
      <c r="D592" s="5">
        <v>180.07</v>
      </c>
      <c r="E592" s="5">
        <v>267.63</v>
      </c>
      <c r="F592" s="5">
        <v>398.56</v>
      </c>
      <c r="G592" s="5">
        <v>433.33</v>
      </c>
      <c r="H592" s="5">
        <v>445.84</v>
      </c>
      <c r="I592" s="5">
        <v>459.42</v>
      </c>
      <c r="J592" s="5">
        <v>228.11</v>
      </c>
      <c r="K592" s="5">
        <v>228.11</v>
      </c>
      <c r="L592" s="5">
        <v>228.11</v>
      </c>
      <c r="M592" s="5">
        <v>228.11</v>
      </c>
    </row>
    <row r="593" spans="1:13" ht="15" customHeight="1" x14ac:dyDescent="0.35">
      <c r="A593" s="1">
        <v>140</v>
      </c>
      <c r="B593" s="5">
        <v>110.04</v>
      </c>
      <c r="C593" s="5">
        <v>138.44999999999999</v>
      </c>
      <c r="D593" s="5">
        <v>181.37</v>
      </c>
      <c r="E593" s="5">
        <v>269.56</v>
      </c>
      <c r="F593" s="5">
        <v>401.43</v>
      </c>
      <c r="G593" s="5">
        <v>436.45</v>
      </c>
      <c r="H593" s="5">
        <v>449.05</v>
      </c>
      <c r="I593" s="5">
        <v>462.72</v>
      </c>
      <c r="J593" s="5">
        <v>229.75</v>
      </c>
      <c r="K593" s="5">
        <v>229.75</v>
      </c>
      <c r="L593" s="5">
        <v>229.75</v>
      </c>
      <c r="M593" s="5">
        <v>229.75</v>
      </c>
    </row>
    <row r="594" spans="1:13" ht="15" customHeight="1" x14ac:dyDescent="0.35">
      <c r="A594" s="1">
        <v>141</v>
      </c>
      <c r="B594" s="5">
        <v>110.83</v>
      </c>
      <c r="C594" s="5">
        <v>139.43</v>
      </c>
      <c r="D594" s="5">
        <v>182.67</v>
      </c>
      <c r="E594" s="5">
        <v>271.48</v>
      </c>
      <c r="F594" s="5">
        <v>404.3</v>
      </c>
      <c r="G594" s="5">
        <v>439.57</v>
      </c>
      <c r="H594" s="5">
        <v>452.26</v>
      </c>
      <c r="I594" s="5">
        <v>466.03</v>
      </c>
      <c r="J594" s="5">
        <v>231.4</v>
      </c>
      <c r="K594" s="5">
        <v>231.4</v>
      </c>
      <c r="L594" s="5">
        <v>231.4</v>
      </c>
      <c r="M594" s="5">
        <v>231.4</v>
      </c>
    </row>
    <row r="595" spans="1:13" ht="15" customHeight="1" x14ac:dyDescent="0.35">
      <c r="A595" s="1">
        <v>142</v>
      </c>
      <c r="B595" s="5">
        <v>111.61</v>
      </c>
      <c r="C595" s="5">
        <v>140.41999999999999</v>
      </c>
      <c r="D595" s="5">
        <v>183.96</v>
      </c>
      <c r="E595" s="5">
        <v>273.41000000000003</v>
      </c>
      <c r="F595" s="5">
        <v>407.16</v>
      </c>
      <c r="G595" s="5">
        <v>442.69</v>
      </c>
      <c r="H595" s="5">
        <v>455.46</v>
      </c>
      <c r="I595" s="5">
        <v>469.34</v>
      </c>
      <c r="J595" s="5">
        <v>233.04</v>
      </c>
      <c r="K595" s="5">
        <v>233.04</v>
      </c>
      <c r="L595" s="5">
        <v>233.04</v>
      </c>
      <c r="M595" s="5">
        <v>233.04</v>
      </c>
    </row>
    <row r="596" spans="1:13" ht="15" customHeight="1" x14ac:dyDescent="0.35">
      <c r="A596" s="1">
        <v>143</v>
      </c>
      <c r="B596" s="5">
        <v>112.4</v>
      </c>
      <c r="C596" s="5">
        <v>141.41</v>
      </c>
      <c r="D596" s="5">
        <v>185.26</v>
      </c>
      <c r="E596" s="5">
        <v>275.33</v>
      </c>
      <c r="F596" s="5">
        <v>410.03</v>
      </c>
      <c r="G596" s="5">
        <v>445.81</v>
      </c>
      <c r="H596" s="5">
        <v>458.67</v>
      </c>
      <c r="I596" s="5">
        <v>472.64</v>
      </c>
      <c r="J596" s="5">
        <v>234.68</v>
      </c>
      <c r="K596" s="5">
        <v>234.68</v>
      </c>
      <c r="L596" s="5">
        <v>234.68</v>
      </c>
      <c r="M596" s="5">
        <v>234.68</v>
      </c>
    </row>
    <row r="597" spans="1:13" ht="15" customHeight="1" x14ac:dyDescent="0.35">
      <c r="A597" s="1">
        <v>144</v>
      </c>
      <c r="B597" s="5">
        <v>113.18</v>
      </c>
      <c r="C597" s="5">
        <v>142.4</v>
      </c>
      <c r="D597" s="5">
        <v>186.55</v>
      </c>
      <c r="E597" s="5">
        <v>277.26</v>
      </c>
      <c r="F597" s="5">
        <v>412.89</v>
      </c>
      <c r="G597" s="5">
        <v>448.93</v>
      </c>
      <c r="H597" s="5">
        <v>461.88</v>
      </c>
      <c r="I597" s="5">
        <v>475.95</v>
      </c>
      <c r="J597" s="5">
        <v>236.32</v>
      </c>
      <c r="K597" s="5">
        <v>236.32</v>
      </c>
      <c r="L597" s="5">
        <v>236.32</v>
      </c>
      <c r="M597" s="5">
        <v>236.32</v>
      </c>
    </row>
    <row r="598" spans="1:13" ht="15" customHeight="1" x14ac:dyDescent="0.35">
      <c r="A598" s="1">
        <v>145</v>
      </c>
      <c r="B598" s="5">
        <v>113.97</v>
      </c>
      <c r="C598" s="5">
        <v>143.38999999999999</v>
      </c>
      <c r="D598" s="5">
        <v>187.85</v>
      </c>
      <c r="E598" s="5">
        <v>279.18</v>
      </c>
      <c r="F598" s="5">
        <v>415.77</v>
      </c>
      <c r="G598" s="5">
        <v>452.04</v>
      </c>
      <c r="H598" s="5">
        <v>465.09</v>
      </c>
      <c r="I598" s="5">
        <v>479.25</v>
      </c>
      <c r="J598" s="5">
        <v>237.96</v>
      </c>
      <c r="K598" s="5">
        <v>237.96</v>
      </c>
      <c r="L598" s="5">
        <v>237.96</v>
      </c>
      <c r="M598" s="5">
        <v>237.96</v>
      </c>
    </row>
    <row r="599" spans="1:13" ht="15" customHeight="1" x14ac:dyDescent="0.35">
      <c r="A599" s="1">
        <v>146</v>
      </c>
      <c r="B599" s="5">
        <v>114.76</v>
      </c>
      <c r="C599" s="5">
        <v>144.38</v>
      </c>
      <c r="D599" s="5">
        <v>189.14</v>
      </c>
      <c r="E599" s="5">
        <v>281.11</v>
      </c>
      <c r="F599" s="5">
        <v>418.63</v>
      </c>
      <c r="G599" s="5">
        <v>455.16</v>
      </c>
      <c r="H599" s="5">
        <v>468.29</v>
      </c>
      <c r="I599" s="5">
        <v>482.56</v>
      </c>
      <c r="J599" s="5">
        <v>239.6</v>
      </c>
      <c r="K599" s="5">
        <v>239.6</v>
      </c>
      <c r="L599" s="5">
        <v>239.6</v>
      </c>
      <c r="M599" s="5">
        <v>239.6</v>
      </c>
    </row>
    <row r="600" spans="1:13" ht="15" customHeight="1" x14ac:dyDescent="0.35">
      <c r="A600" s="1">
        <v>147</v>
      </c>
      <c r="B600" s="5">
        <v>115.54</v>
      </c>
      <c r="C600" s="5">
        <v>145.37</v>
      </c>
      <c r="D600" s="5">
        <v>190.44</v>
      </c>
      <c r="E600" s="5">
        <v>283.02999999999997</v>
      </c>
      <c r="F600" s="5">
        <v>421.5</v>
      </c>
      <c r="G600" s="5">
        <v>458.28</v>
      </c>
      <c r="H600" s="5">
        <v>471.5</v>
      </c>
      <c r="I600" s="5">
        <v>485.86</v>
      </c>
      <c r="J600" s="5">
        <v>241.24</v>
      </c>
      <c r="K600" s="5">
        <v>241.24</v>
      </c>
      <c r="L600" s="5">
        <v>241.24</v>
      </c>
      <c r="M600" s="5">
        <v>241.24</v>
      </c>
    </row>
    <row r="601" spans="1:13" ht="15" customHeight="1" x14ac:dyDescent="0.35">
      <c r="A601" s="1">
        <v>148</v>
      </c>
      <c r="B601" s="5">
        <v>116.33</v>
      </c>
      <c r="C601" s="5">
        <v>146.36000000000001</v>
      </c>
      <c r="D601" s="5">
        <v>191.73</v>
      </c>
      <c r="E601" s="5">
        <v>284.95999999999998</v>
      </c>
      <c r="F601" s="5">
        <v>424.36</v>
      </c>
      <c r="G601" s="5">
        <v>461.4</v>
      </c>
      <c r="H601" s="5">
        <v>474.71</v>
      </c>
      <c r="I601" s="5">
        <v>489.17</v>
      </c>
      <c r="J601" s="5">
        <v>242.88</v>
      </c>
      <c r="K601" s="5">
        <v>242.88</v>
      </c>
      <c r="L601" s="5">
        <v>242.88</v>
      </c>
      <c r="M601" s="5">
        <v>242.88</v>
      </c>
    </row>
    <row r="602" spans="1:13" ht="15" customHeight="1" x14ac:dyDescent="0.35">
      <c r="A602" s="1">
        <v>149</v>
      </c>
      <c r="B602" s="5">
        <v>117.11</v>
      </c>
      <c r="C602" s="5">
        <v>147.35</v>
      </c>
      <c r="D602" s="5">
        <v>193.03</v>
      </c>
      <c r="E602" s="5">
        <v>286.88</v>
      </c>
      <c r="F602" s="5">
        <v>427.23</v>
      </c>
      <c r="G602" s="5">
        <v>464.51</v>
      </c>
      <c r="H602" s="5">
        <v>477.92</v>
      </c>
      <c r="I602" s="5">
        <v>492.47</v>
      </c>
      <c r="J602" s="5">
        <v>244.52</v>
      </c>
      <c r="K602" s="5">
        <v>244.52</v>
      </c>
      <c r="L602" s="5">
        <v>244.52</v>
      </c>
      <c r="M602" s="5">
        <v>244.52</v>
      </c>
    </row>
    <row r="603" spans="1:13" ht="15" customHeight="1" x14ac:dyDescent="0.35">
      <c r="A603" s="1">
        <v>150</v>
      </c>
      <c r="B603" s="5">
        <v>117.9</v>
      </c>
      <c r="C603" s="5">
        <v>148.33000000000001</v>
      </c>
      <c r="D603" s="5">
        <v>194.32</v>
      </c>
      <c r="E603" s="5">
        <v>288.81</v>
      </c>
      <c r="F603" s="5">
        <v>430.09</v>
      </c>
      <c r="G603" s="5">
        <v>467.62</v>
      </c>
      <c r="H603" s="5">
        <v>481.12</v>
      </c>
      <c r="I603" s="5">
        <v>495.78</v>
      </c>
      <c r="J603" s="5">
        <v>246.16</v>
      </c>
      <c r="K603" s="5">
        <v>246.16</v>
      </c>
      <c r="L603" s="5">
        <v>246.16</v>
      </c>
      <c r="M603" s="5">
        <v>246.16</v>
      </c>
    </row>
    <row r="604" spans="1:13" ht="15" customHeight="1" x14ac:dyDescent="0.3">
      <c r="A604" s="1" t="s">
        <v>35</v>
      </c>
    </row>
    <row r="605" spans="1:13" ht="15" customHeight="1" x14ac:dyDescent="0.3">
      <c r="A605" s="1" t="s">
        <v>0</v>
      </c>
    </row>
    <row r="606" spans="1:13" ht="15" customHeight="1" x14ac:dyDescent="0.3">
      <c r="A606" s="1" t="s">
        <v>0</v>
      </c>
    </row>
    <row r="607" spans="1:13" ht="15" customHeight="1" x14ac:dyDescent="0.3">
      <c r="A607" s="1" t="s">
        <v>44</v>
      </c>
      <c r="B607" s="7" t="s">
        <v>25</v>
      </c>
      <c r="C607" s="7"/>
      <c r="D607" s="7"/>
      <c r="E607" s="7"/>
    </row>
    <row r="608" spans="1:13" ht="15" customHeight="1" x14ac:dyDescent="0.3">
      <c r="A608" s="1" t="s">
        <v>36</v>
      </c>
    </row>
    <row r="609" spans="1:13" ht="15" customHeight="1" x14ac:dyDescent="0.3">
      <c r="A609" s="1" t="s">
        <v>0</v>
      </c>
    </row>
    <row r="610" spans="1:13" ht="15" customHeight="1" x14ac:dyDescent="0.3">
      <c r="A610" s="1" t="s">
        <v>32</v>
      </c>
      <c r="B610" s="1" t="s">
        <v>33</v>
      </c>
    </row>
    <row r="611" spans="1:13" ht="15" customHeight="1" x14ac:dyDescent="0.35">
      <c r="A611" s="1" t="s">
        <v>34</v>
      </c>
      <c r="B611" s="2">
        <v>2</v>
      </c>
      <c r="C611" s="2">
        <v>3</v>
      </c>
      <c r="D611" s="2">
        <v>4</v>
      </c>
      <c r="E611" s="2">
        <v>5</v>
      </c>
      <c r="F611" s="2">
        <v>6</v>
      </c>
      <c r="G611" s="2">
        <v>7</v>
      </c>
      <c r="H611" s="2">
        <v>8</v>
      </c>
      <c r="I611" s="2">
        <v>9</v>
      </c>
      <c r="J611" s="2">
        <v>13</v>
      </c>
      <c r="K611" s="2">
        <v>14</v>
      </c>
      <c r="L611" s="2">
        <v>15</v>
      </c>
      <c r="M611" s="2">
        <v>16</v>
      </c>
    </row>
    <row r="612" spans="1:13" ht="15" customHeight="1" x14ac:dyDescent="0.35">
      <c r="A612" s="1" t="s">
        <v>37</v>
      </c>
      <c r="B612" s="5">
        <v>0.79</v>
      </c>
      <c r="C612" s="5">
        <v>0.99</v>
      </c>
      <c r="D612" s="5">
        <v>1.3</v>
      </c>
      <c r="E612" s="5">
        <v>1.93</v>
      </c>
      <c r="F612" s="5">
        <v>2.87</v>
      </c>
      <c r="G612" s="5">
        <v>3.12</v>
      </c>
      <c r="H612" s="5">
        <v>3.21</v>
      </c>
      <c r="I612" s="5">
        <v>3.31</v>
      </c>
      <c r="J612" s="5">
        <v>1.64</v>
      </c>
      <c r="K612" s="5">
        <v>1.64</v>
      </c>
      <c r="L612" s="5">
        <v>1.64</v>
      </c>
      <c r="M612" s="5">
        <v>1.64</v>
      </c>
    </row>
    <row r="613" spans="1:13" ht="15" customHeight="1" x14ac:dyDescent="0.35">
      <c r="A613" s="1" t="s">
        <v>38</v>
      </c>
      <c r="B613" s="5">
        <v>0.79</v>
      </c>
      <c r="C613" s="5">
        <v>0.99</v>
      </c>
      <c r="D613" s="5">
        <v>1.3</v>
      </c>
      <c r="E613" s="5">
        <v>1.93</v>
      </c>
      <c r="F613" s="5">
        <v>2.87</v>
      </c>
      <c r="G613" s="5">
        <v>3.12</v>
      </c>
      <c r="H613" s="5">
        <v>3.21</v>
      </c>
      <c r="I613" s="5">
        <v>3.31</v>
      </c>
      <c r="J613" s="5">
        <v>1.64</v>
      </c>
      <c r="K613" s="5">
        <v>1.64</v>
      </c>
      <c r="L613" s="5">
        <v>1.64</v>
      </c>
      <c r="M613" s="5">
        <v>1.64</v>
      </c>
    </row>
    <row r="614" spans="1:13" ht="15" customHeight="1" x14ac:dyDescent="0.35">
      <c r="A614" s="1" t="s">
        <v>39</v>
      </c>
      <c r="B614" s="5">
        <v>0.79</v>
      </c>
      <c r="C614" s="5">
        <v>0.99</v>
      </c>
      <c r="D614" s="5">
        <v>1.3</v>
      </c>
      <c r="E614" s="5">
        <v>1.93</v>
      </c>
      <c r="F614" s="5">
        <v>2.87</v>
      </c>
      <c r="G614" s="5">
        <v>3.12</v>
      </c>
      <c r="H614" s="5">
        <v>3.21</v>
      </c>
      <c r="I614" s="5">
        <v>3.31</v>
      </c>
      <c r="J614" s="5">
        <v>1.64</v>
      </c>
      <c r="K614" s="5">
        <v>1.64</v>
      </c>
      <c r="L614" s="5">
        <v>1.64</v>
      </c>
      <c r="M614" s="5">
        <v>1.64</v>
      </c>
    </row>
    <row r="615" spans="1:13" ht="15" customHeight="1" x14ac:dyDescent="0.35">
      <c r="A615" s="1" t="s">
        <v>40</v>
      </c>
      <c r="B615" s="5">
        <v>0.79</v>
      </c>
      <c r="C615" s="5">
        <v>0.98</v>
      </c>
      <c r="D615" s="5">
        <v>1.3</v>
      </c>
      <c r="E615" s="5">
        <v>1.92</v>
      </c>
      <c r="F615" s="5">
        <v>2.86</v>
      </c>
      <c r="G615" s="5">
        <v>3.11</v>
      </c>
      <c r="H615" s="5">
        <v>3.2</v>
      </c>
      <c r="I615" s="5">
        <v>3.3</v>
      </c>
      <c r="J615" s="5">
        <v>1.63</v>
      </c>
      <c r="K615" s="5">
        <v>1.63</v>
      </c>
      <c r="L615" s="5">
        <v>1.63</v>
      </c>
      <c r="M615" s="5">
        <v>1.63</v>
      </c>
    </row>
    <row r="616" spans="1:13" ht="15" customHeight="1" x14ac:dyDescent="0.35">
      <c r="A616" s="1" t="s">
        <v>41</v>
      </c>
      <c r="B616" s="5">
        <v>0.78</v>
      </c>
      <c r="C616" s="5">
        <v>0.97</v>
      </c>
      <c r="D616" s="5">
        <v>1.29</v>
      </c>
      <c r="E616" s="5">
        <v>1.92</v>
      </c>
      <c r="F616" s="5">
        <v>2.86</v>
      </c>
      <c r="G616" s="5">
        <v>3.1</v>
      </c>
      <c r="H616" s="5">
        <v>3.19</v>
      </c>
      <c r="I616" s="5">
        <v>3.29</v>
      </c>
      <c r="J616" s="5">
        <v>1.63</v>
      </c>
      <c r="K616" s="5">
        <v>1.63</v>
      </c>
      <c r="L616" s="5">
        <v>1.63</v>
      </c>
      <c r="M616" s="5">
        <v>1.63</v>
      </c>
    </row>
    <row r="617" spans="1:13" ht="15" customHeight="1" x14ac:dyDescent="0.35">
      <c r="A617" s="1" t="s">
        <v>42</v>
      </c>
      <c r="B617" s="5">
        <v>0.77</v>
      </c>
      <c r="C617" s="5">
        <v>0.98</v>
      </c>
      <c r="D617" s="5">
        <v>1.28</v>
      </c>
      <c r="E617" s="5">
        <v>1.91</v>
      </c>
      <c r="F617" s="5">
        <v>2.85</v>
      </c>
      <c r="G617" s="5">
        <v>3.09</v>
      </c>
      <c r="H617" s="5">
        <v>3.19</v>
      </c>
      <c r="I617" s="5">
        <v>3.28</v>
      </c>
      <c r="J617" s="5">
        <v>1.63</v>
      </c>
      <c r="K617" s="5">
        <v>1.63</v>
      </c>
      <c r="L617" s="5">
        <v>1.63</v>
      </c>
      <c r="M617" s="5">
        <v>1.63</v>
      </c>
    </row>
    <row r="619" spans="1:13" ht="15" customHeight="1" x14ac:dyDescent="0.3">
      <c r="A619" s="1" t="s">
        <v>35</v>
      </c>
    </row>
    <row r="622" spans="1:13" ht="15" customHeight="1" x14ac:dyDescent="0.3">
      <c r="A622" s="7" t="s">
        <v>0</v>
      </c>
      <c r="B622" s="7"/>
      <c r="C622" s="7"/>
      <c r="D622" s="7"/>
      <c r="E622" s="7"/>
    </row>
    <row r="623" spans="1:13" ht="15" customHeight="1" x14ac:dyDescent="0.35">
      <c r="A623" s="8" t="s">
        <v>45</v>
      </c>
      <c r="B623" s="8"/>
      <c r="C623" s="8"/>
      <c r="D623" s="8"/>
      <c r="E623" s="8"/>
      <c r="F623" s="8"/>
      <c r="G623" s="8"/>
      <c r="H623" s="7" t="s">
        <v>25</v>
      </c>
      <c r="I623" s="7"/>
      <c r="J623" s="7"/>
      <c r="K623" s="7"/>
    </row>
    <row r="627" spans="1:16" ht="15" customHeight="1" x14ac:dyDescent="0.3">
      <c r="A627" s="1" t="s">
        <v>26</v>
      </c>
    </row>
    <row r="628" spans="1:16" ht="15" customHeight="1" x14ac:dyDescent="0.3">
      <c r="A628" s="1" t="s">
        <v>0</v>
      </c>
    </row>
    <row r="629" spans="1:16" ht="15" customHeight="1" x14ac:dyDescent="0.3">
      <c r="A629" s="1" t="s">
        <v>0</v>
      </c>
    </row>
    <row r="630" spans="1:16" ht="15" customHeight="1" x14ac:dyDescent="0.3">
      <c r="A630" s="1" t="s">
        <v>27</v>
      </c>
      <c r="B630" s="1" t="s">
        <v>28</v>
      </c>
    </row>
    <row r="631" spans="1:16" ht="15" customHeight="1" x14ac:dyDescent="0.35">
      <c r="A631" s="1" t="s">
        <v>29</v>
      </c>
      <c r="B631" s="3">
        <v>0.11</v>
      </c>
    </row>
    <row r="632" spans="1:16" ht="15" customHeight="1" x14ac:dyDescent="0.35">
      <c r="A632" s="1" t="s">
        <v>30</v>
      </c>
      <c r="B632" s="3">
        <v>0.11</v>
      </c>
    </row>
    <row r="633" spans="1:16" ht="15" customHeight="1" x14ac:dyDescent="0.35">
      <c r="A633" s="1" t="s">
        <v>31</v>
      </c>
      <c r="B633" s="3">
        <v>0.11</v>
      </c>
    </row>
    <row r="635" spans="1:16" ht="15" customHeight="1" x14ac:dyDescent="0.35">
      <c r="A635" s="2" t="s">
        <v>32</v>
      </c>
      <c r="B635" s="8" t="s">
        <v>33</v>
      </c>
      <c r="C635" s="8"/>
    </row>
    <row r="636" spans="1:16" ht="15" customHeight="1" x14ac:dyDescent="0.35">
      <c r="A636" s="2" t="s">
        <v>34</v>
      </c>
      <c r="B636" s="2">
        <v>2</v>
      </c>
      <c r="C636" s="2">
        <v>3</v>
      </c>
      <c r="D636" s="2">
        <v>4</v>
      </c>
      <c r="E636" s="2">
        <v>5</v>
      </c>
      <c r="F636" s="2">
        <v>6</v>
      </c>
      <c r="G636" s="2">
        <v>7</v>
      </c>
      <c r="H636" s="2">
        <v>8</v>
      </c>
      <c r="I636" s="2">
        <v>9</v>
      </c>
      <c r="J636" s="2">
        <v>10</v>
      </c>
      <c r="K636" s="2">
        <v>11</v>
      </c>
      <c r="L636" s="2">
        <v>12</v>
      </c>
      <c r="M636" s="2">
        <v>13</v>
      </c>
      <c r="N636" s="2">
        <v>14</v>
      </c>
      <c r="O636" s="2">
        <v>15</v>
      </c>
      <c r="P636" s="2">
        <v>16</v>
      </c>
    </row>
    <row r="637" spans="1:16" ht="15" customHeight="1" x14ac:dyDescent="0.3">
      <c r="A637" s="1" t="s">
        <v>29</v>
      </c>
    </row>
    <row r="638" spans="1:16" ht="15" customHeight="1" x14ac:dyDescent="0.35">
      <c r="A638" s="1" t="s">
        <v>0</v>
      </c>
      <c r="B638" s="4">
        <v>13.46</v>
      </c>
      <c r="C638" s="4">
        <v>13.46</v>
      </c>
      <c r="D638" s="4">
        <v>13.46</v>
      </c>
      <c r="E638" s="5">
        <v>13.63</v>
      </c>
      <c r="F638" s="5">
        <v>16.37</v>
      </c>
      <c r="G638" s="5">
        <v>17.46</v>
      </c>
      <c r="H638" s="5">
        <v>17.82</v>
      </c>
      <c r="I638" s="5">
        <v>25.8</v>
      </c>
      <c r="J638" s="5">
        <v>25.8</v>
      </c>
      <c r="K638" s="5">
        <v>33.409999999999997</v>
      </c>
      <c r="L638" s="5">
        <v>33.409999999999997</v>
      </c>
      <c r="M638" s="5">
        <v>16.79</v>
      </c>
      <c r="N638" s="5">
        <v>16.79</v>
      </c>
      <c r="O638" s="5">
        <v>16.79</v>
      </c>
      <c r="P638" s="5">
        <v>16.79</v>
      </c>
    </row>
    <row r="639" spans="1:16" ht="15" customHeight="1" x14ac:dyDescent="0.3">
      <c r="A639" s="1" t="s">
        <v>31</v>
      </c>
    </row>
    <row r="640" spans="1:16" ht="15" customHeight="1" x14ac:dyDescent="0.35">
      <c r="A640" s="1">
        <v>1</v>
      </c>
      <c r="B640" s="4">
        <v>13.52</v>
      </c>
      <c r="C640" s="4">
        <v>13.52</v>
      </c>
      <c r="D640" s="4">
        <v>13.52</v>
      </c>
      <c r="E640" s="5">
        <v>13.63</v>
      </c>
      <c r="F640" s="5">
        <v>16.37</v>
      </c>
      <c r="G640" s="5">
        <v>17.46</v>
      </c>
      <c r="H640" s="5">
        <v>17.82</v>
      </c>
      <c r="I640" s="5">
        <v>25.8</v>
      </c>
      <c r="J640" s="5">
        <v>25.8</v>
      </c>
      <c r="K640" s="5">
        <v>33.409999999999997</v>
      </c>
      <c r="L640" s="5">
        <v>33.409999999999997</v>
      </c>
      <c r="M640" s="5">
        <v>16.79</v>
      </c>
      <c r="N640" s="5">
        <v>16.79</v>
      </c>
      <c r="O640" s="5">
        <v>16.79</v>
      </c>
      <c r="P640" s="5">
        <v>16.79</v>
      </c>
    </row>
    <row r="641" spans="1:16" ht="15" customHeight="1" x14ac:dyDescent="0.35">
      <c r="A641" s="1">
        <v>2</v>
      </c>
      <c r="B641" s="4">
        <v>13.52</v>
      </c>
      <c r="C641" s="4">
        <v>13.52</v>
      </c>
      <c r="D641" s="4">
        <v>13.52</v>
      </c>
      <c r="E641" s="5">
        <v>14.81</v>
      </c>
      <c r="F641" s="5">
        <v>18.46</v>
      </c>
      <c r="G641" s="5">
        <v>20.49</v>
      </c>
      <c r="H641" s="5">
        <v>21.56</v>
      </c>
      <c r="I641" s="5">
        <v>28.81</v>
      </c>
      <c r="J641" s="5">
        <v>28.81</v>
      </c>
      <c r="K641" s="5">
        <v>40.79</v>
      </c>
      <c r="L641" s="5">
        <v>40.79</v>
      </c>
      <c r="M641" s="5">
        <v>18.95</v>
      </c>
      <c r="N641" s="5">
        <v>18.95</v>
      </c>
      <c r="O641" s="5">
        <v>18.95</v>
      </c>
      <c r="P641" s="5">
        <v>18.95</v>
      </c>
    </row>
    <row r="642" spans="1:16" ht="15" customHeight="1" x14ac:dyDescent="0.3">
      <c r="A642" s="1" t="s">
        <v>30</v>
      </c>
    </row>
    <row r="643" spans="1:16" ht="15" customHeight="1" x14ac:dyDescent="0.35">
      <c r="A643" s="1">
        <v>1</v>
      </c>
      <c r="B643" s="4">
        <v>13.52</v>
      </c>
      <c r="C643" s="4">
        <v>13.52</v>
      </c>
      <c r="D643" s="4">
        <v>13.52</v>
      </c>
      <c r="E643" s="5">
        <v>13.63</v>
      </c>
      <c r="F643" s="5">
        <v>16.37</v>
      </c>
      <c r="G643" s="5">
        <v>17.46</v>
      </c>
      <c r="H643" s="5">
        <v>17.82</v>
      </c>
      <c r="I643" s="5">
        <v>25.8</v>
      </c>
      <c r="J643" s="5">
        <v>25.8</v>
      </c>
      <c r="K643" s="5">
        <v>33.409999999999997</v>
      </c>
      <c r="L643" s="5">
        <v>33.409999999999997</v>
      </c>
      <c r="M643" s="5">
        <v>16.79</v>
      </c>
      <c r="N643" s="5">
        <v>16.79</v>
      </c>
      <c r="O643" s="5">
        <v>16.79</v>
      </c>
      <c r="P643" s="5">
        <v>16.79</v>
      </c>
    </row>
    <row r="644" spans="1:16" ht="15" customHeight="1" x14ac:dyDescent="0.35">
      <c r="A644" s="1">
        <v>2</v>
      </c>
      <c r="B644" s="4">
        <v>13.52</v>
      </c>
      <c r="C644" s="4">
        <v>13.52</v>
      </c>
      <c r="D644" s="4">
        <v>13.52</v>
      </c>
      <c r="E644" s="5">
        <v>14.81</v>
      </c>
      <c r="F644" s="5">
        <v>18.46</v>
      </c>
      <c r="G644" s="5">
        <v>20.49</v>
      </c>
      <c r="H644" s="5">
        <v>21.56</v>
      </c>
      <c r="I644" s="5">
        <v>28.81</v>
      </c>
      <c r="J644" s="5">
        <v>28.81</v>
      </c>
      <c r="K644" s="5">
        <v>40.79</v>
      </c>
      <c r="L644" s="5">
        <v>40.79</v>
      </c>
      <c r="M644" s="5">
        <v>18.95</v>
      </c>
      <c r="N644" s="5">
        <v>18.95</v>
      </c>
      <c r="O644" s="5">
        <v>18.95</v>
      </c>
      <c r="P644" s="5">
        <v>18.95</v>
      </c>
    </row>
    <row r="645" spans="1:16" ht="15" customHeight="1" x14ac:dyDescent="0.35">
      <c r="A645" s="1">
        <v>3</v>
      </c>
      <c r="B645" s="4">
        <v>13.52</v>
      </c>
      <c r="C645" s="4">
        <v>13.52</v>
      </c>
      <c r="D645" s="4">
        <v>13.52</v>
      </c>
      <c r="E645" s="5">
        <v>16.309999999999999</v>
      </c>
      <c r="F645" s="5">
        <v>21.21</v>
      </c>
      <c r="G645" s="5">
        <v>23.73</v>
      </c>
      <c r="H645" s="5">
        <v>24.74</v>
      </c>
      <c r="I645" s="5">
        <v>32.89</v>
      </c>
      <c r="J645" s="5">
        <v>32.89</v>
      </c>
      <c r="K645" s="5">
        <v>41.54</v>
      </c>
      <c r="L645" s="5">
        <v>41.54</v>
      </c>
      <c r="M645" s="5">
        <v>20.68</v>
      </c>
      <c r="N645" s="5">
        <v>20.68</v>
      </c>
      <c r="O645" s="5">
        <v>20.68</v>
      </c>
      <c r="P645" s="5">
        <v>20.68</v>
      </c>
    </row>
    <row r="646" spans="1:16" ht="15" customHeight="1" x14ac:dyDescent="0.35">
      <c r="A646" s="1">
        <v>4</v>
      </c>
      <c r="B646" s="4">
        <v>13.52</v>
      </c>
      <c r="C646" s="4">
        <v>13.52</v>
      </c>
      <c r="D646" s="4">
        <v>13.52</v>
      </c>
      <c r="E646" s="5">
        <v>19.03</v>
      </c>
      <c r="F646" s="5">
        <v>24.5</v>
      </c>
      <c r="G646" s="5">
        <v>27.1</v>
      </c>
      <c r="H646" s="5">
        <v>28.16</v>
      </c>
      <c r="I646" s="5">
        <v>35.049999999999997</v>
      </c>
      <c r="J646" s="5">
        <v>35.049999999999997</v>
      </c>
      <c r="K646" s="5">
        <v>43.35</v>
      </c>
      <c r="L646" s="5">
        <v>43.35</v>
      </c>
      <c r="M646" s="5">
        <v>23.03</v>
      </c>
      <c r="N646" s="5">
        <v>23.03</v>
      </c>
      <c r="O646" s="5">
        <v>23.03</v>
      </c>
      <c r="P646" s="5">
        <v>23.03</v>
      </c>
    </row>
    <row r="647" spans="1:16" ht="15" customHeight="1" x14ac:dyDescent="0.35">
      <c r="A647" s="1">
        <v>5</v>
      </c>
      <c r="B647" s="4">
        <v>13.52</v>
      </c>
      <c r="C647" s="4">
        <v>13.52</v>
      </c>
      <c r="D647" s="5">
        <v>14.53</v>
      </c>
      <c r="E647" s="5">
        <v>21.15</v>
      </c>
      <c r="F647" s="5">
        <v>27.37</v>
      </c>
      <c r="G647" s="5">
        <v>30.19</v>
      </c>
      <c r="H647" s="5">
        <v>32.04</v>
      </c>
      <c r="I647" s="5">
        <v>38.090000000000003</v>
      </c>
      <c r="J647" s="5">
        <v>38.090000000000003</v>
      </c>
      <c r="K647" s="5">
        <v>44.88</v>
      </c>
      <c r="L647" s="5">
        <v>44.88</v>
      </c>
      <c r="M647" s="5">
        <v>23.88</v>
      </c>
      <c r="N647" s="5">
        <v>23.88</v>
      </c>
      <c r="O647" s="5">
        <v>23.88</v>
      </c>
      <c r="P647" s="5">
        <v>23.88</v>
      </c>
    </row>
    <row r="648" spans="1:16" ht="15" customHeight="1" x14ac:dyDescent="0.35">
      <c r="A648" s="1">
        <v>6</v>
      </c>
      <c r="B648" s="4">
        <v>13.52</v>
      </c>
      <c r="C648" s="4">
        <v>13.52</v>
      </c>
      <c r="D648" s="5">
        <v>15.83</v>
      </c>
      <c r="E648" s="5">
        <v>23.09</v>
      </c>
      <c r="F648" s="5">
        <v>30.43</v>
      </c>
      <c r="G648" s="5">
        <v>33.56</v>
      </c>
      <c r="H648" s="5">
        <v>34.24</v>
      </c>
      <c r="I648" s="5">
        <v>43.14</v>
      </c>
      <c r="J648" s="5">
        <v>43.14</v>
      </c>
      <c r="K648" s="5">
        <v>49</v>
      </c>
      <c r="L648" s="5">
        <v>49</v>
      </c>
      <c r="M648" s="5">
        <v>28.26</v>
      </c>
      <c r="N648" s="5">
        <v>28.26</v>
      </c>
      <c r="O648" s="5">
        <v>28.26</v>
      </c>
      <c r="P648" s="5">
        <v>28.26</v>
      </c>
    </row>
    <row r="649" spans="1:16" ht="15" customHeight="1" x14ac:dyDescent="0.35">
      <c r="A649" s="1">
        <v>7</v>
      </c>
      <c r="B649" s="4">
        <v>13.52</v>
      </c>
      <c r="C649" s="5">
        <v>14.18</v>
      </c>
      <c r="D649" s="5">
        <v>17.170000000000002</v>
      </c>
      <c r="E649" s="5">
        <v>25.24</v>
      </c>
      <c r="F649" s="5">
        <v>34.229999999999997</v>
      </c>
      <c r="G649" s="5">
        <v>36.28</v>
      </c>
      <c r="H649" s="5">
        <v>37.01</v>
      </c>
      <c r="I649" s="5">
        <v>43.66</v>
      </c>
      <c r="J649" s="5">
        <v>43.66</v>
      </c>
      <c r="K649" s="5">
        <v>49.41</v>
      </c>
      <c r="L649" s="5">
        <v>49.41</v>
      </c>
      <c r="M649" s="5">
        <v>30.13</v>
      </c>
      <c r="N649" s="5">
        <v>30.13</v>
      </c>
      <c r="O649" s="5">
        <v>30.13</v>
      </c>
      <c r="P649" s="5">
        <v>30.13</v>
      </c>
    </row>
    <row r="650" spans="1:16" ht="15" customHeight="1" x14ac:dyDescent="0.35">
      <c r="A650" s="1">
        <v>8</v>
      </c>
      <c r="B650" s="4">
        <v>13.52</v>
      </c>
      <c r="C650" s="5">
        <v>15.47</v>
      </c>
      <c r="D650" s="5">
        <v>18.37</v>
      </c>
      <c r="E650" s="5">
        <v>27.54</v>
      </c>
      <c r="F650" s="5">
        <v>37.869999999999997</v>
      </c>
      <c r="G650" s="5">
        <v>41.04</v>
      </c>
      <c r="H650" s="5">
        <v>42.53</v>
      </c>
      <c r="I650" s="5">
        <v>48.92</v>
      </c>
      <c r="J650" s="5">
        <v>48.92</v>
      </c>
      <c r="K650" s="5">
        <v>55.29</v>
      </c>
      <c r="L650" s="5">
        <v>55.29</v>
      </c>
      <c r="M650" s="5">
        <v>30.53</v>
      </c>
      <c r="N650" s="5">
        <v>30.53</v>
      </c>
      <c r="O650" s="5">
        <v>30.53</v>
      </c>
      <c r="P650" s="5">
        <v>30.53</v>
      </c>
    </row>
    <row r="651" spans="1:16" ht="15" customHeight="1" x14ac:dyDescent="0.35">
      <c r="A651" s="1">
        <v>9</v>
      </c>
      <c r="B651" s="5">
        <v>13.78</v>
      </c>
      <c r="C651" s="5">
        <v>16.149999999999999</v>
      </c>
      <c r="D651" s="5">
        <v>19.850000000000001</v>
      </c>
      <c r="E651" s="5">
        <v>29.56</v>
      </c>
      <c r="F651" s="5">
        <v>39.450000000000003</v>
      </c>
      <c r="G651" s="5">
        <v>45</v>
      </c>
      <c r="H651" s="5">
        <v>46.68</v>
      </c>
      <c r="I651" s="5">
        <v>49.45</v>
      </c>
      <c r="J651" s="5">
        <v>49.45</v>
      </c>
      <c r="K651" s="5">
        <v>58.23</v>
      </c>
      <c r="L651" s="5">
        <v>58.23</v>
      </c>
      <c r="M651" s="5">
        <v>31.3</v>
      </c>
      <c r="N651" s="5">
        <v>31.3</v>
      </c>
      <c r="O651" s="5">
        <v>31.3</v>
      </c>
      <c r="P651" s="5">
        <v>31.3</v>
      </c>
    </row>
    <row r="652" spans="1:16" ht="15" customHeight="1" x14ac:dyDescent="0.35">
      <c r="A652" s="1">
        <v>10</v>
      </c>
      <c r="B652" s="5">
        <v>13.89</v>
      </c>
      <c r="C652" s="5">
        <v>17.22</v>
      </c>
      <c r="D652" s="5">
        <v>21.38</v>
      </c>
      <c r="E652" s="5">
        <v>31.58</v>
      </c>
      <c r="F652" s="5">
        <v>43.99</v>
      </c>
      <c r="G652" s="5">
        <v>48.95</v>
      </c>
      <c r="H652" s="5">
        <v>50.49</v>
      </c>
      <c r="I652" s="5">
        <v>56.79</v>
      </c>
      <c r="J652" s="5">
        <v>56.79</v>
      </c>
      <c r="K652" s="5">
        <v>60.69</v>
      </c>
      <c r="L652" s="5">
        <v>60.69</v>
      </c>
      <c r="M652" s="5">
        <v>32.68</v>
      </c>
      <c r="N652" s="5">
        <v>32.68</v>
      </c>
      <c r="O652" s="5">
        <v>32.68</v>
      </c>
      <c r="P652" s="5">
        <v>32.68</v>
      </c>
    </row>
    <row r="653" spans="1:16" ht="15" customHeight="1" x14ac:dyDescent="0.35">
      <c r="A653" s="1">
        <v>11</v>
      </c>
      <c r="B653" s="5">
        <v>14</v>
      </c>
      <c r="C653" s="5">
        <v>16.8</v>
      </c>
      <c r="D653" s="5">
        <v>20.72</v>
      </c>
      <c r="E653" s="5">
        <v>31.29</v>
      </c>
      <c r="F653" s="5">
        <v>44</v>
      </c>
      <c r="G653" s="5">
        <v>48.62</v>
      </c>
      <c r="H653" s="5">
        <v>50.7</v>
      </c>
      <c r="I653" s="5">
        <v>53.32</v>
      </c>
      <c r="J653" s="5">
        <v>53.32</v>
      </c>
      <c r="K653" s="5">
        <v>56.49</v>
      </c>
      <c r="L653" s="5">
        <v>56.49</v>
      </c>
      <c r="M653" s="5">
        <v>30.41</v>
      </c>
      <c r="N653" s="5">
        <v>30.41</v>
      </c>
      <c r="O653" s="5">
        <v>30.41</v>
      </c>
      <c r="P653" s="5">
        <v>30.41</v>
      </c>
    </row>
    <row r="654" spans="1:16" ht="15" customHeight="1" x14ac:dyDescent="0.35">
      <c r="A654" s="1">
        <v>12</v>
      </c>
      <c r="B654" s="5">
        <v>14.74</v>
      </c>
      <c r="C654" s="5">
        <v>17.8</v>
      </c>
      <c r="D654" s="5">
        <v>21.86</v>
      </c>
      <c r="E654" s="5">
        <v>33.06</v>
      </c>
      <c r="F654" s="5">
        <v>45.38</v>
      </c>
      <c r="G654" s="5">
        <v>50.09</v>
      </c>
      <c r="H654" s="5">
        <v>51.09</v>
      </c>
      <c r="I654" s="5">
        <v>54.21</v>
      </c>
      <c r="J654" s="5">
        <v>54.21</v>
      </c>
      <c r="K654" s="5">
        <v>56.74</v>
      </c>
      <c r="L654" s="5">
        <v>56.74</v>
      </c>
      <c r="M654" s="5">
        <v>30.49</v>
      </c>
      <c r="N654" s="5">
        <v>30.49</v>
      </c>
      <c r="O654" s="5">
        <v>30.49</v>
      </c>
      <c r="P654" s="5">
        <v>30.49</v>
      </c>
    </row>
    <row r="655" spans="1:16" ht="15" customHeight="1" x14ac:dyDescent="0.35">
      <c r="A655" s="1">
        <v>13</v>
      </c>
      <c r="B655" s="5">
        <v>15.78</v>
      </c>
      <c r="C655" s="5">
        <v>18.72</v>
      </c>
      <c r="D655" s="5">
        <v>22.7</v>
      </c>
      <c r="E655" s="5">
        <v>35.04</v>
      </c>
      <c r="F655" s="5">
        <v>50.5</v>
      </c>
      <c r="G655" s="5">
        <v>54.69</v>
      </c>
      <c r="H655" s="5">
        <v>57.36</v>
      </c>
      <c r="I655" s="5">
        <v>59.86</v>
      </c>
      <c r="J655" s="5">
        <v>59.86</v>
      </c>
      <c r="K655" s="5">
        <v>61.79</v>
      </c>
      <c r="L655" s="5">
        <v>61.79</v>
      </c>
      <c r="M655" s="5">
        <v>31.14</v>
      </c>
      <c r="N655" s="5">
        <v>31.14</v>
      </c>
      <c r="O655" s="5">
        <v>31.14</v>
      </c>
      <c r="P655" s="5">
        <v>31.14</v>
      </c>
    </row>
    <row r="656" spans="1:16" ht="15" customHeight="1" x14ac:dyDescent="0.35">
      <c r="A656" s="1">
        <v>14</v>
      </c>
      <c r="B656" s="5">
        <v>16.57</v>
      </c>
      <c r="C656" s="5">
        <v>19.690000000000001</v>
      </c>
      <c r="D656" s="5">
        <v>24.19</v>
      </c>
      <c r="E656" s="5">
        <v>37.06</v>
      </c>
      <c r="F656" s="5">
        <v>51.31</v>
      </c>
      <c r="G656" s="5">
        <v>56.85</v>
      </c>
      <c r="H656" s="5">
        <v>57.99</v>
      </c>
      <c r="I656" s="5">
        <v>62.2</v>
      </c>
      <c r="J656" s="5">
        <v>62.2</v>
      </c>
      <c r="K656" s="5">
        <v>64.22</v>
      </c>
      <c r="L656" s="5">
        <v>64.22</v>
      </c>
      <c r="M656" s="5">
        <v>31.25</v>
      </c>
      <c r="N656" s="5">
        <v>31.25</v>
      </c>
      <c r="O656" s="5">
        <v>31.25</v>
      </c>
      <c r="P656" s="5">
        <v>31.25</v>
      </c>
    </row>
    <row r="657" spans="1:16" ht="15" customHeight="1" x14ac:dyDescent="0.35">
      <c r="A657" s="1">
        <v>15</v>
      </c>
      <c r="B657" s="5">
        <v>17.2</v>
      </c>
      <c r="C657" s="5">
        <v>20.170000000000002</v>
      </c>
      <c r="D657" s="5">
        <v>25.36</v>
      </c>
      <c r="E657" s="5">
        <v>38.49</v>
      </c>
      <c r="F657" s="5">
        <v>56.43</v>
      </c>
      <c r="G657" s="5">
        <v>60.1</v>
      </c>
      <c r="H657" s="5">
        <v>62.65</v>
      </c>
      <c r="I657" s="5">
        <v>65.069999999999993</v>
      </c>
      <c r="J657" s="5">
        <v>65.069999999999993</v>
      </c>
      <c r="K657" s="5">
        <v>67.709999999999994</v>
      </c>
      <c r="L657" s="5">
        <v>67.709999999999994</v>
      </c>
      <c r="M657" s="5">
        <v>31.36</v>
      </c>
      <c r="N657" s="5">
        <v>31.36</v>
      </c>
      <c r="O657" s="5">
        <v>31.36</v>
      </c>
      <c r="P657" s="5">
        <v>31.36</v>
      </c>
    </row>
    <row r="658" spans="1:16" ht="15" customHeight="1" x14ac:dyDescent="0.35">
      <c r="A658" s="1">
        <v>16</v>
      </c>
      <c r="B658" s="5">
        <v>17.600000000000001</v>
      </c>
      <c r="C658" s="5">
        <v>20.84</v>
      </c>
      <c r="D658" s="5">
        <v>26.46</v>
      </c>
      <c r="E658" s="5">
        <v>39.74</v>
      </c>
      <c r="F658" s="5">
        <v>58.9</v>
      </c>
      <c r="G658" s="5">
        <v>63.18</v>
      </c>
      <c r="H658" s="5">
        <v>65.31</v>
      </c>
      <c r="I658" s="5">
        <v>67.75</v>
      </c>
      <c r="J658" s="5">
        <v>67.75</v>
      </c>
      <c r="K658" s="5">
        <v>71.52</v>
      </c>
      <c r="L658" s="5">
        <v>71.52</v>
      </c>
      <c r="M658" s="5">
        <v>31.47</v>
      </c>
      <c r="N658" s="5">
        <v>31.47</v>
      </c>
      <c r="O658" s="5">
        <v>31.47</v>
      </c>
      <c r="P658" s="5">
        <v>31.47</v>
      </c>
    </row>
    <row r="659" spans="1:16" ht="15" customHeight="1" x14ac:dyDescent="0.35">
      <c r="A659" s="1">
        <v>17</v>
      </c>
      <c r="B659" s="5">
        <v>18.149999999999999</v>
      </c>
      <c r="C659" s="5">
        <v>21.46</v>
      </c>
      <c r="D659" s="5">
        <v>27.61</v>
      </c>
      <c r="E659" s="5">
        <v>41.66</v>
      </c>
      <c r="F659" s="5">
        <v>61.56</v>
      </c>
      <c r="G659" s="5">
        <v>66.209999999999994</v>
      </c>
      <c r="H659" s="5">
        <v>68.34</v>
      </c>
      <c r="I659" s="5">
        <v>70.97</v>
      </c>
      <c r="J659" s="5">
        <v>70.97</v>
      </c>
      <c r="K659" s="5">
        <v>74.45</v>
      </c>
      <c r="L659" s="5">
        <v>74.45</v>
      </c>
      <c r="M659" s="5">
        <v>32.659999999999997</v>
      </c>
      <c r="N659" s="5">
        <v>32.659999999999997</v>
      </c>
      <c r="O659" s="5">
        <v>32.659999999999997</v>
      </c>
      <c r="P659" s="5">
        <v>32.659999999999997</v>
      </c>
    </row>
    <row r="660" spans="1:16" ht="15" customHeight="1" x14ac:dyDescent="0.35">
      <c r="A660" s="1">
        <v>18</v>
      </c>
      <c r="B660" s="5">
        <v>18.75</v>
      </c>
      <c r="C660" s="5">
        <v>22.17</v>
      </c>
      <c r="D660" s="5">
        <v>28.62</v>
      </c>
      <c r="E660" s="5">
        <v>43.09</v>
      </c>
      <c r="F660" s="5">
        <v>64.11</v>
      </c>
      <c r="G660" s="5">
        <v>66.52</v>
      </c>
      <c r="H660" s="5">
        <v>68.650000000000006</v>
      </c>
      <c r="I660" s="5">
        <v>72.36</v>
      </c>
      <c r="J660" s="5">
        <v>72.36</v>
      </c>
      <c r="K660" s="5">
        <v>74.790000000000006</v>
      </c>
      <c r="L660" s="5">
        <v>74.790000000000006</v>
      </c>
      <c r="M660" s="5">
        <v>33.6</v>
      </c>
      <c r="N660" s="5">
        <v>33.6</v>
      </c>
      <c r="O660" s="5">
        <v>33.6</v>
      </c>
      <c r="P660" s="5">
        <v>33.6</v>
      </c>
    </row>
    <row r="661" spans="1:16" ht="15" customHeight="1" x14ac:dyDescent="0.35">
      <c r="A661" s="1">
        <v>19</v>
      </c>
      <c r="B661" s="5">
        <v>19.489999999999998</v>
      </c>
      <c r="C661" s="5">
        <v>22.78</v>
      </c>
      <c r="D661" s="5">
        <v>29.46</v>
      </c>
      <c r="E661" s="5">
        <v>44.85</v>
      </c>
      <c r="F661" s="5">
        <v>66.45</v>
      </c>
      <c r="G661" s="5">
        <v>72.680000000000007</v>
      </c>
      <c r="H661" s="5">
        <v>74.75</v>
      </c>
      <c r="I661" s="5">
        <v>77.66</v>
      </c>
      <c r="J661" s="5">
        <v>77.66</v>
      </c>
      <c r="K661" s="5">
        <v>81.44</v>
      </c>
      <c r="L661" s="5">
        <v>81.44</v>
      </c>
      <c r="M661" s="5">
        <v>34.619999999999997</v>
      </c>
      <c r="N661" s="5">
        <v>34.619999999999997</v>
      </c>
      <c r="O661" s="5">
        <v>34.619999999999997</v>
      </c>
      <c r="P661" s="5">
        <v>34.619999999999997</v>
      </c>
    </row>
    <row r="662" spans="1:16" ht="15" customHeight="1" x14ac:dyDescent="0.35">
      <c r="A662" s="1">
        <v>20</v>
      </c>
      <c r="B662" s="5">
        <v>20.170000000000002</v>
      </c>
      <c r="C662" s="5">
        <v>23.76</v>
      </c>
      <c r="D662" s="5">
        <v>30.6</v>
      </c>
      <c r="E662" s="5">
        <v>46.94</v>
      </c>
      <c r="F662" s="5">
        <v>68.819999999999993</v>
      </c>
      <c r="G662" s="5">
        <v>75.180000000000007</v>
      </c>
      <c r="H662" s="5">
        <v>77.540000000000006</v>
      </c>
      <c r="I662" s="5">
        <v>80.41</v>
      </c>
      <c r="J662" s="5">
        <v>80.41</v>
      </c>
      <c r="K662" s="5">
        <v>82.34</v>
      </c>
      <c r="L662" s="5">
        <v>82.34</v>
      </c>
      <c r="M662" s="5">
        <v>35.659999999999997</v>
      </c>
      <c r="N662" s="5">
        <v>35.659999999999997</v>
      </c>
      <c r="O662" s="5">
        <v>35.659999999999997</v>
      </c>
      <c r="P662" s="5">
        <v>35.659999999999997</v>
      </c>
    </row>
    <row r="663" spans="1:16" ht="15" customHeight="1" x14ac:dyDescent="0.35">
      <c r="A663" s="1">
        <v>21</v>
      </c>
      <c r="B663" s="5">
        <v>18.329999999999998</v>
      </c>
      <c r="C663" s="5">
        <v>21.43</v>
      </c>
      <c r="D663" s="5">
        <v>27.56</v>
      </c>
      <c r="E663" s="5">
        <v>42.12</v>
      </c>
      <c r="F663" s="5">
        <v>59.95</v>
      </c>
      <c r="G663" s="5">
        <v>67.510000000000005</v>
      </c>
      <c r="H663" s="5">
        <v>68.930000000000007</v>
      </c>
      <c r="I663" s="5">
        <v>70.31</v>
      </c>
      <c r="J663" s="5">
        <v>70.31</v>
      </c>
      <c r="K663" s="5">
        <v>71.73</v>
      </c>
      <c r="L663" s="5">
        <v>71.73</v>
      </c>
      <c r="M663" s="5">
        <v>31.14</v>
      </c>
      <c r="N663" s="5">
        <v>31.14</v>
      </c>
      <c r="O663" s="5">
        <v>31.14</v>
      </c>
      <c r="P663" s="5">
        <v>31.14</v>
      </c>
    </row>
    <row r="664" spans="1:16" ht="15" customHeight="1" x14ac:dyDescent="0.35">
      <c r="A664" s="1">
        <v>22</v>
      </c>
      <c r="B664" s="5">
        <v>18.89</v>
      </c>
      <c r="C664" s="5">
        <v>22.46</v>
      </c>
      <c r="D664" s="5">
        <v>28.33</v>
      </c>
      <c r="E664" s="5">
        <v>43.32</v>
      </c>
      <c r="F664" s="5">
        <v>63.88</v>
      </c>
      <c r="G664" s="5">
        <v>70.09</v>
      </c>
      <c r="H664" s="5">
        <v>71.61</v>
      </c>
      <c r="I664" s="5">
        <v>73.05</v>
      </c>
      <c r="J664" s="5">
        <v>73.05</v>
      </c>
      <c r="K664" s="5">
        <v>76.569999999999993</v>
      </c>
      <c r="L664" s="5">
        <v>76.569999999999993</v>
      </c>
      <c r="M664" s="5">
        <v>33.01</v>
      </c>
      <c r="N664" s="5">
        <v>33.01</v>
      </c>
      <c r="O664" s="5">
        <v>33.01</v>
      </c>
      <c r="P664" s="5">
        <v>33.01</v>
      </c>
    </row>
    <row r="665" spans="1:16" ht="15" customHeight="1" x14ac:dyDescent="0.35">
      <c r="A665" s="1">
        <v>23</v>
      </c>
      <c r="B665" s="5">
        <v>19.350000000000001</v>
      </c>
      <c r="C665" s="5">
        <v>22.96</v>
      </c>
      <c r="D665" s="5">
        <v>29.35</v>
      </c>
      <c r="E665" s="5">
        <v>44.55</v>
      </c>
      <c r="F665" s="5">
        <v>66.19</v>
      </c>
      <c r="G665" s="5">
        <v>72.39</v>
      </c>
      <c r="H665" s="5">
        <v>74.06</v>
      </c>
      <c r="I665" s="5">
        <v>75.55</v>
      </c>
      <c r="J665" s="5">
        <v>75.55</v>
      </c>
      <c r="K665" s="5">
        <v>77.06</v>
      </c>
      <c r="L665" s="5">
        <v>77.06</v>
      </c>
      <c r="M665" s="5">
        <v>33.200000000000003</v>
      </c>
      <c r="N665" s="5">
        <v>33.200000000000003</v>
      </c>
      <c r="O665" s="5">
        <v>33.200000000000003</v>
      </c>
      <c r="P665" s="5">
        <v>33.200000000000003</v>
      </c>
    </row>
    <row r="666" spans="1:16" ht="15" customHeight="1" x14ac:dyDescent="0.35">
      <c r="A666" s="1">
        <v>24</v>
      </c>
      <c r="B666" s="5">
        <v>19.79</v>
      </c>
      <c r="C666" s="5">
        <v>23.87</v>
      </c>
      <c r="D666" s="5">
        <v>30.28</v>
      </c>
      <c r="E666" s="5">
        <v>46.28</v>
      </c>
      <c r="F666" s="5">
        <v>68.599999999999994</v>
      </c>
      <c r="G666" s="5">
        <v>73.38</v>
      </c>
      <c r="H666" s="5">
        <v>74.849999999999994</v>
      </c>
      <c r="I666" s="5">
        <v>76.349999999999994</v>
      </c>
      <c r="J666" s="5">
        <v>76.349999999999994</v>
      </c>
      <c r="K666" s="5">
        <v>79.78</v>
      </c>
      <c r="L666" s="5">
        <v>79.78</v>
      </c>
      <c r="M666" s="5">
        <v>33.380000000000003</v>
      </c>
      <c r="N666" s="5">
        <v>33.380000000000003</v>
      </c>
      <c r="O666" s="5">
        <v>33.380000000000003</v>
      </c>
      <c r="P666" s="5">
        <v>33.380000000000003</v>
      </c>
    </row>
    <row r="667" spans="1:16" ht="15" customHeight="1" x14ac:dyDescent="0.35">
      <c r="A667" s="1">
        <v>25</v>
      </c>
      <c r="B667" s="5">
        <v>20.440000000000001</v>
      </c>
      <c r="C667" s="5">
        <v>24.56</v>
      </c>
      <c r="D667" s="5">
        <v>30.86</v>
      </c>
      <c r="E667" s="5">
        <v>47.86</v>
      </c>
      <c r="F667" s="5">
        <v>70.84</v>
      </c>
      <c r="G667" s="5">
        <v>77.88</v>
      </c>
      <c r="H667" s="5">
        <v>81.14</v>
      </c>
      <c r="I667" s="5">
        <v>84.33</v>
      </c>
      <c r="J667" s="5">
        <v>84.33</v>
      </c>
      <c r="K667" s="5">
        <v>88.18</v>
      </c>
      <c r="L667" s="5">
        <v>88.18</v>
      </c>
      <c r="M667" s="5">
        <v>36.340000000000003</v>
      </c>
      <c r="N667" s="5">
        <v>36.340000000000003</v>
      </c>
      <c r="O667" s="5">
        <v>36.340000000000003</v>
      </c>
      <c r="P667" s="5">
        <v>36.340000000000003</v>
      </c>
    </row>
    <row r="668" spans="1:16" ht="15" customHeight="1" x14ac:dyDescent="0.35">
      <c r="A668" s="1">
        <v>26</v>
      </c>
      <c r="B668" s="5">
        <v>21.06</v>
      </c>
      <c r="C668" s="5">
        <v>25.23</v>
      </c>
      <c r="D668" s="5">
        <v>32</v>
      </c>
      <c r="E668" s="5">
        <v>49.44</v>
      </c>
      <c r="F668" s="5">
        <v>73.25</v>
      </c>
      <c r="G668" s="5">
        <v>80.55</v>
      </c>
      <c r="H668" s="5">
        <v>83.37</v>
      </c>
      <c r="I668" s="5">
        <v>86.53</v>
      </c>
      <c r="J668" s="5">
        <v>86.53</v>
      </c>
      <c r="K668" s="5">
        <v>90.89</v>
      </c>
      <c r="L668" s="5">
        <v>90.89</v>
      </c>
      <c r="M668" s="5">
        <v>36.630000000000003</v>
      </c>
      <c r="N668" s="5">
        <v>36.630000000000003</v>
      </c>
      <c r="O668" s="5">
        <v>36.630000000000003</v>
      </c>
      <c r="P668" s="5">
        <v>36.630000000000003</v>
      </c>
    </row>
    <row r="669" spans="1:16" ht="15" customHeight="1" x14ac:dyDescent="0.35">
      <c r="A669" s="1">
        <v>27</v>
      </c>
      <c r="B669" s="5">
        <v>21.72</v>
      </c>
      <c r="C669" s="5">
        <v>25.96</v>
      </c>
      <c r="D669" s="5">
        <v>32.82</v>
      </c>
      <c r="E669" s="5">
        <v>51.19</v>
      </c>
      <c r="F669" s="5">
        <v>75.73</v>
      </c>
      <c r="G669" s="5">
        <v>83.26</v>
      </c>
      <c r="H669" s="5">
        <v>85.99</v>
      </c>
      <c r="I669" s="5">
        <v>89.33</v>
      </c>
      <c r="J669" s="5">
        <v>89.33</v>
      </c>
      <c r="K669" s="5">
        <v>93.62</v>
      </c>
      <c r="L669" s="5">
        <v>93.62</v>
      </c>
      <c r="M669" s="5">
        <v>36.74</v>
      </c>
      <c r="N669" s="5">
        <v>36.74</v>
      </c>
      <c r="O669" s="5">
        <v>36.74</v>
      </c>
      <c r="P669" s="5">
        <v>36.74</v>
      </c>
    </row>
    <row r="670" spans="1:16" ht="15" customHeight="1" x14ac:dyDescent="0.35">
      <c r="A670" s="1">
        <v>28</v>
      </c>
      <c r="B670" s="5">
        <v>22.42</v>
      </c>
      <c r="C670" s="5">
        <v>26.82</v>
      </c>
      <c r="D670" s="5">
        <v>33.57</v>
      </c>
      <c r="E670" s="5">
        <v>52.41</v>
      </c>
      <c r="F670" s="5">
        <v>77.66</v>
      </c>
      <c r="G670" s="5">
        <v>85.41</v>
      </c>
      <c r="H670" s="5">
        <v>88.07</v>
      </c>
      <c r="I670" s="5">
        <v>92.2</v>
      </c>
      <c r="J670" s="5">
        <v>92.2</v>
      </c>
      <c r="K670" s="5">
        <v>96.95</v>
      </c>
      <c r="L670" s="5">
        <v>96.95</v>
      </c>
      <c r="M670" s="5">
        <v>37.5</v>
      </c>
      <c r="N670" s="5">
        <v>37.5</v>
      </c>
      <c r="O670" s="5">
        <v>37.5</v>
      </c>
      <c r="P670" s="5">
        <v>37.5</v>
      </c>
    </row>
    <row r="671" spans="1:16" ht="15" customHeight="1" x14ac:dyDescent="0.35">
      <c r="A671" s="1">
        <v>29</v>
      </c>
      <c r="B671" s="5">
        <v>23</v>
      </c>
      <c r="C671" s="5">
        <v>27.31</v>
      </c>
      <c r="D671" s="5">
        <v>34.56</v>
      </c>
      <c r="E671" s="5">
        <v>53.65</v>
      </c>
      <c r="F671" s="5">
        <v>79.75</v>
      </c>
      <c r="G671" s="5">
        <v>87.55</v>
      </c>
      <c r="H671" s="5">
        <v>90.69</v>
      </c>
      <c r="I671" s="5">
        <v>94.53</v>
      </c>
      <c r="J671" s="5">
        <v>94.53</v>
      </c>
      <c r="K671" s="5">
        <v>99.66</v>
      </c>
      <c r="L671" s="5">
        <v>99.66</v>
      </c>
      <c r="M671" s="5">
        <v>37.69</v>
      </c>
      <c r="N671" s="5">
        <v>37.69</v>
      </c>
      <c r="O671" s="5">
        <v>37.69</v>
      </c>
      <c r="P671" s="5">
        <v>37.69</v>
      </c>
    </row>
    <row r="672" spans="1:16" ht="15" customHeight="1" x14ac:dyDescent="0.35">
      <c r="A672" s="1">
        <v>30</v>
      </c>
      <c r="B672" s="5">
        <v>23.09</v>
      </c>
      <c r="C672" s="5">
        <v>28.05</v>
      </c>
      <c r="D672" s="5">
        <v>35.76</v>
      </c>
      <c r="E672" s="5">
        <v>55.41</v>
      </c>
      <c r="F672" s="5">
        <v>81.94</v>
      </c>
      <c r="G672" s="5">
        <v>89.92</v>
      </c>
      <c r="H672" s="5">
        <v>92.99</v>
      </c>
      <c r="I672" s="5">
        <v>97.51</v>
      </c>
      <c r="J672" s="5">
        <v>97.51</v>
      </c>
      <c r="K672" s="5">
        <v>102.21</v>
      </c>
      <c r="L672" s="5">
        <v>102.21</v>
      </c>
      <c r="M672" s="5">
        <v>38.270000000000003</v>
      </c>
      <c r="N672" s="5">
        <v>38.270000000000003</v>
      </c>
      <c r="O672" s="5">
        <v>38.270000000000003</v>
      </c>
      <c r="P672" s="5">
        <v>38.270000000000003</v>
      </c>
    </row>
    <row r="673" spans="1:16" ht="15" customHeight="1" x14ac:dyDescent="0.35">
      <c r="A673" s="1">
        <v>31</v>
      </c>
      <c r="B673" s="5">
        <v>23.18</v>
      </c>
      <c r="C673" s="5">
        <v>29</v>
      </c>
      <c r="D673" s="5">
        <v>36.729999999999997</v>
      </c>
      <c r="E673" s="5">
        <v>56.65</v>
      </c>
      <c r="F673" s="5">
        <v>83.81</v>
      </c>
      <c r="G673" s="5">
        <v>91.86</v>
      </c>
      <c r="H673" s="5">
        <v>95.48</v>
      </c>
      <c r="I673" s="5">
        <v>99.92</v>
      </c>
      <c r="J673" s="5">
        <v>99.92</v>
      </c>
      <c r="K673" s="5">
        <v>102.49</v>
      </c>
      <c r="L673" s="5">
        <v>102.49</v>
      </c>
      <c r="M673" s="5">
        <v>38.56</v>
      </c>
      <c r="N673" s="5">
        <v>38.56</v>
      </c>
      <c r="O673" s="5">
        <v>38.56</v>
      </c>
      <c r="P673" s="5">
        <v>38.56</v>
      </c>
    </row>
    <row r="674" spans="1:16" ht="15" customHeight="1" x14ac:dyDescent="0.35">
      <c r="A674" s="1">
        <v>32</v>
      </c>
      <c r="B674" s="5">
        <v>23.29</v>
      </c>
      <c r="C674" s="5">
        <v>29.64</v>
      </c>
      <c r="D674" s="5">
        <v>37.770000000000003</v>
      </c>
      <c r="E674" s="5">
        <v>58.01</v>
      </c>
      <c r="F674" s="5">
        <v>86.27</v>
      </c>
      <c r="G674" s="5">
        <v>94.41</v>
      </c>
      <c r="H674" s="5">
        <v>97.79</v>
      </c>
      <c r="I674" s="5">
        <v>103.06</v>
      </c>
      <c r="J674" s="5">
        <v>103.06</v>
      </c>
      <c r="K674" s="5">
        <v>108.11</v>
      </c>
      <c r="L674" s="5">
        <v>108.11</v>
      </c>
      <c r="M674" s="5">
        <v>40.36</v>
      </c>
      <c r="N674" s="5">
        <v>40.36</v>
      </c>
      <c r="O674" s="5">
        <v>40.36</v>
      </c>
      <c r="P674" s="5">
        <v>40.36</v>
      </c>
    </row>
    <row r="675" spans="1:16" ht="15" customHeight="1" x14ac:dyDescent="0.35">
      <c r="A675" s="1">
        <v>33</v>
      </c>
      <c r="B675" s="5">
        <v>25.21</v>
      </c>
      <c r="C675" s="5">
        <v>30.42</v>
      </c>
      <c r="D675" s="5">
        <v>38.82</v>
      </c>
      <c r="E675" s="5">
        <v>59.26</v>
      </c>
      <c r="F675" s="5">
        <v>88.58</v>
      </c>
      <c r="G675" s="5">
        <v>96.59</v>
      </c>
      <c r="H675" s="5">
        <v>100.28</v>
      </c>
      <c r="I675" s="5">
        <v>103.38</v>
      </c>
      <c r="J675" s="5">
        <v>103.38</v>
      </c>
      <c r="K675" s="5">
        <v>109.16</v>
      </c>
      <c r="L675" s="5">
        <v>109.16</v>
      </c>
      <c r="M675" s="5">
        <v>41.19</v>
      </c>
      <c r="N675" s="5">
        <v>41.19</v>
      </c>
      <c r="O675" s="5">
        <v>41.19</v>
      </c>
      <c r="P675" s="5">
        <v>41.19</v>
      </c>
    </row>
    <row r="676" spans="1:16" ht="15" customHeight="1" x14ac:dyDescent="0.35">
      <c r="A676" s="1">
        <v>34</v>
      </c>
      <c r="B676" s="5">
        <v>26</v>
      </c>
      <c r="C676" s="5">
        <v>30.98</v>
      </c>
      <c r="D676" s="5">
        <v>39.630000000000003</v>
      </c>
      <c r="E676" s="5">
        <v>61.33</v>
      </c>
      <c r="F676" s="5">
        <v>91.26</v>
      </c>
      <c r="G676" s="5">
        <v>98.99</v>
      </c>
      <c r="H676" s="5">
        <v>102.74</v>
      </c>
      <c r="I676" s="5">
        <v>105.09</v>
      </c>
      <c r="J676" s="5">
        <v>105.09</v>
      </c>
      <c r="K676" s="5">
        <v>109.28</v>
      </c>
      <c r="L676" s="5">
        <v>109.28</v>
      </c>
      <c r="M676" s="5">
        <v>43.2</v>
      </c>
      <c r="N676" s="5">
        <v>43.2</v>
      </c>
      <c r="O676" s="5">
        <v>43.2</v>
      </c>
      <c r="P676" s="5">
        <v>43.2</v>
      </c>
    </row>
    <row r="677" spans="1:16" ht="15" customHeight="1" x14ac:dyDescent="0.35">
      <c r="A677" s="1">
        <v>35</v>
      </c>
      <c r="B677" s="5">
        <v>26.53</v>
      </c>
      <c r="C677" s="5">
        <v>31.91</v>
      </c>
      <c r="D677" s="5">
        <v>40.5</v>
      </c>
      <c r="E677" s="5">
        <v>62.54</v>
      </c>
      <c r="F677" s="5">
        <v>94</v>
      </c>
      <c r="G677" s="5">
        <v>101.17</v>
      </c>
      <c r="H677" s="5">
        <v>103.19</v>
      </c>
      <c r="I677" s="5">
        <v>105.26</v>
      </c>
      <c r="J677" s="5">
        <v>105.26</v>
      </c>
      <c r="K677" s="5">
        <v>109.4</v>
      </c>
      <c r="L677" s="5">
        <v>109.4</v>
      </c>
      <c r="M677" s="5">
        <v>43.4</v>
      </c>
      <c r="N677" s="5">
        <v>43.4</v>
      </c>
      <c r="O677" s="5">
        <v>43.4</v>
      </c>
      <c r="P677" s="5">
        <v>43.4</v>
      </c>
    </row>
    <row r="678" spans="1:16" ht="15" customHeight="1" x14ac:dyDescent="0.35">
      <c r="A678" s="1">
        <v>36</v>
      </c>
      <c r="B678" s="5">
        <v>26.94</v>
      </c>
      <c r="C678" s="5">
        <v>32.619999999999997</v>
      </c>
      <c r="D678" s="5">
        <v>41.34</v>
      </c>
      <c r="E678" s="5">
        <v>63.83</v>
      </c>
      <c r="F678" s="5">
        <v>96.53</v>
      </c>
      <c r="G678" s="5">
        <v>103.77</v>
      </c>
      <c r="H678" s="5">
        <v>105.85</v>
      </c>
      <c r="I678" s="5">
        <v>107.97</v>
      </c>
      <c r="J678" s="5">
        <v>107.97</v>
      </c>
      <c r="K678" s="5">
        <v>111.76</v>
      </c>
      <c r="L678" s="5">
        <v>111.76</v>
      </c>
      <c r="M678" s="5">
        <v>43.83</v>
      </c>
      <c r="N678" s="5">
        <v>43.83</v>
      </c>
      <c r="O678" s="5">
        <v>43.83</v>
      </c>
      <c r="P678" s="5">
        <v>43.83</v>
      </c>
    </row>
    <row r="679" spans="1:16" ht="15" customHeight="1" x14ac:dyDescent="0.35">
      <c r="A679" s="1">
        <v>37</v>
      </c>
      <c r="B679" s="5">
        <v>27.44</v>
      </c>
      <c r="C679" s="5">
        <v>33.090000000000003</v>
      </c>
      <c r="D679" s="5">
        <v>42.33</v>
      </c>
      <c r="E679" s="5">
        <v>65.48</v>
      </c>
      <c r="F679" s="5">
        <v>99.15</v>
      </c>
      <c r="G679" s="5">
        <v>107.46</v>
      </c>
      <c r="H679" s="5">
        <v>110.81</v>
      </c>
      <c r="I679" s="5">
        <v>116.6</v>
      </c>
      <c r="J679" s="5">
        <v>116.6</v>
      </c>
      <c r="K679" s="5">
        <v>119.08</v>
      </c>
      <c r="L679" s="5">
        <v>119.08</v>
      </c>
      <c r="M679" s="5">
        <v>44.97</v>
      </c>
      <c r="N679" s="5">
        <v>44.97</v>
      </c>
      <c r="O679" s="5">
        <v>44.97</v>
      </c>
      <c r="P679" s="5">
        <v>44.97</v>
      </c>
    </row>
    <row r="680" spans="1:16" ht="15" customHeight="1" x14ac:dyDescent="0.35">
      <c r="A680" s="1">
        <v>38</v>
      </c>
      <c r="B680" s="5">
        <v>27.9</v>
      </c>
      <c r="C680" s="5">
        <v>33.6</v>
      </c>
      <c r="D680" s="5">
        <v>43.41</v>
      </c>
      <c r="E680" s="5">
        <v>66.8</v>
      </c>
      <c r="F680" s="5">
        <v>101.68</v>
      </c>
      <c r="G680" s="5">
        <v>110.25</v>
      </c>
      <c r="H680" s="5">
        <v>113.83</v>
      </c>
      <c r="I680" s="5">
        <v>117.47</v>
      </c>
      <c r="J680" s="5">
        <v>117.47</v>
      </c>
      <c r="K680" s="5">
        <v>119.82</v>
      </c>
      <c r="L680" s="5">
        <v>119.82</v>
      </c>
      <c r="M680" s="5">
        <v>45.67</v>
      </c>
      <c r="N680" s="5">
        <v>45.67</v>
      </c>
      <c r="O680" s="5">
        <v>45.67</v>
      </c>
      <c r="P680" s="5">
        <v>45.67</v>
      </c>
    </row>
    <row r="681" spans="1:16" ht="15" customHeight="1" x14ac:dyDescent="0.35">
      <c r="A681" s="1">
        <v>39</v>
      </c>
      <c r="B681" s="5">
        <v>28.78</v>
      </c>
      <c r="C681" s="5">
        <v>34.479999999999997</v>
      </c>
      <c r="D681" s="5">
        <v>44.13</v>
      </c>
      <c r="E681" s="5">
        <v>68.13</v>
      </c>
      <c r="F681" s="5">
        <v>104.14</v>
      </c>
      <c r="G681" s="5">
        <v>113.19</v>
      </c>
      <c r="H681" s="5">
        <v>116.79</v>
      </c>
      <c r="I681" s="5">
        <v>122.69</v>
      </c>
      <c r="J681" s="5">
        <v>122.69</v>
      </c>
      <c r="K681" s="5">
        <v>128.26</v>
      </c>
      <c r="L681" s="5">
        <v>128.26</v>
      </c>
      <c r="M681" s="5">
        <v>46.62</v>
      </c>
      <c r="N681" s="5">
        <v>46.62</v>
      </c>
      <c r="O681" s="5">
        <v>46.62</v>
      </c>
      <c r="P681" s="5">
        <v>46.62</v>
      </c>
    </row>
    <row r="682" spans="1:16" ht="15" customHeight="1" x14ac:dyDescent="0.35">
      <c r="A682" s="1">
        <v>40</v>
      </c>
      <c r="B682" s="5">
        <v>28.87</v>
      </c>
      <c r="C682" s="5">
        <v>35.39</v>
      </c>
      <c r="D682" s="5">
        <v>45.18</v>
      </c>
      <c r="E682" s="5">
        <v>69.67</v>
      </c>
      <c r="F682" s="5">
        <v>106.5</v>
      </c>
      <c r="G682" s="5">
        <v>115.96</v>
      </c>
      <c r="H682" s="5">
        <v>119.37</v>
      </c>
      <c r="I682" s="5">
        <v>125.14</v>
      </c>
      <c r="J682" s="5">
        <v>125.14</v>
      </c>
      <c r="K682" s="5">
        <v>129.51</v>
      </c>
      <c r="L682" s="5">
        <v>129.51</v>
      </c>
      <c r="M682" s="5">
        <v>47.32</v>
      </c>
      <c r="N682" s="5">
        <v>47.32</v>
      </c>
      <c r="O682" s="5">
        <v>47.32</v>
      </c>
      <c r="P682" s="5">
        <v>47.32</v>
      </c>
    </row>
    <row r="683" spans="1:16" ht="15" customHeight="1" x14ac:dyDescent="0.35">
      <c r="A683" s="1">
        <v>41</v>
      </c>
      <c r="B683" s="5">
        <v>30.27</v>
      </c>
      <c r="C683" s="5">
        <v>36.25</v>
      </c>
      <c r="D683" s="5">
        <v>45.72</v>
      </c>
      <c r="E683" s="5">
        <v>70.94</v>
      </c>
      <c r="F683" s="5">
        <v>108.91</v>
      </c>
      <c r="G683" s="5">
        <v>118.98</v>
      </c>
      <c r="H683" s="5">
        <v>122.6</v>
      </c>
      <c r="I683" s="5">
        <v>127.88</v>
      </c>
      <c r="J683" s="5">
        <v>127.88</v>
      </c>
      <c r="K683" s="5">
        <v>132.5</v>
      </c>
      <c r="L683" s="5">
        <v>132.5</v>
      </c>
      <c r="M683" s="5">
        <v>47.61</v>
      </c>
      <c r="N683" s="5">
        <v>47.61</v>
      </c>
      <c r="O683" s="5">
        <v>47.61</v>
      </c>
      <c r="P683" s="5">
        <v>47.61</v>
      </c>
    </row>
    <row r="684" spans="1:16" ht="15" customHeight="1" x14ac:dyDescent="0.35">
      <c r="A684" s="1">
        <v>42</v>
      </c>
      <c r="B684" s="5">
        <v>30.77</v>
      </c>
      <c r="C684" s="5">
        <v>37.130000000000003</v>
      </c>
      <c r="D684" s="5">
        <v>46.64</v>
      </c>
      <c r="E684" s="5">
        <v>72.44</v>
      </c>
      <c r="F684" s="5">
        <v>111.24</v>
      </c>
      <c r="G684" s="5">
        <v>121.92</v>
      </c>
      <c r="H684" s="5">
        <v>125.68</v>
      </c>
      <c r="I684" s="5">
        <v>130.19</v>
      </c>
      <c r="J684" s="5">
        <v>130.19</v>
      </c>
      <c r="K684" s="5">
        <v>132.80000000000001</v>
      </c>
      <c r="L684" s="5">
        <v>132.80000000000001</v>
      </c>
      <c r="M684" s="5">
        <v>52.35</v>
      </c>
      <c r="N684" s="5">
        <v>52.35</v>
      </c>
      <c r="O684" s="5">
        <v>52.35</v>
      </c>
      <c r="P684" s="5">
        <v>52.35</v>
      </c>
    </row>
    <row r="685" spans="1:16" ht="15" customHeight="1" x14ac:dyDescent="0.35">
      <c r="A685" s="1">
        <v>43</v>
      </c>
      <c r="B685" s="5">
        <v>31.41</v>
      </c>
      <c r="C685" s="5">
        <v>37.909999999999997</v>
      </c>
      <c r="D685" s="5">
        <v>47.36</v>
      </c>
      <c r="E685" s="5">
        <v>73.650000000000006</v>
      </c>
      <c r="F685" s="5">
        <v>113.86</v>
      </c>
      <c r="G685" s="5">
        <v>124.19</v>
      </c>
      <c r="H685" s="5">
        <v>128.30000000000001</v>
      </c>
      <c r="I685" s="5">
        <v>133.22999999999999</v>
      </c>
      <c r="J685" s="5">
        <v>133.22999999999999</v>
      </c>
      <c r="K685" s="5">
        <v>138.69</v>
      </c>
      <c r="L685" s="5">
        <v>138.69</v>
      </c>
      <c r="M685" s="5">
        <v>53.07</v>
      </c>
      <c r="N685" s="5">
        <v>53.07</v>
      </c>
      <c r="O685" s="5">
        <v>53.07</v>
      </c>
      <c r="P685" s="5">
        <v>53.07</v>
      </c>
    </row>
    <row r="686" spans="1:16" ht="15" customHeight="1" x14ac:dyDescent="0.35">
      <c r="A686" s="1">
        <v>44</v>
      </c>
      <c r="B686" s="5">
        <v>31.95</v>
      </c>
      <c r="C686" s="5">
        <v>38.369999999999997</v>
      </c>
      <c r="D686" s="5">
        <v>48.43</v>
      </c>
      <c r="E686" s="5">
        <v>74.959999999999994</v>
      </c>
      <c r="F686" s="5">
        <v>116.08</v>
      </c>
      <c r="G686" s="5">
        <v>126.29</v>
      </c>
      <c r="H686" s="5">
        <v>130.82</v>
      </c>
      <c r="I686" s="5">
        <v>135.88</v>
      </c>
      <c r="J686" s="5">
        <v>135.88</v>
      </c>
      <c r="K686" s="5">
        <v>141.02000000000001</v>
      </c>
      <c r="L686" s="5">
        <v>141.02000000000001</v>
      </c>
      <c r="M686" s="5">
        <v>53.26</v>
      </c>
      <c r="N686" s="5">
        <v>53.26</v>
      </c>
      <c r="O686" s="5">
        <v>53.26</v>
      </c>
      <c r="P686" s="5">
        <v>53.26</v>
      </c>
    </row>
    <row r="687" spans="1:16" ht="15" customHeight="1" x14ac:dyDescent="0.35">
      <c r="A687" s="1">
        <v>45</v>
      </c>
      <c r="B687" s="5">
        <v>32.090000000000003</v>
      </c>
      <c r="C687" s="5">
        <v>39.299999999999997</v>
      </c>
      <c r="D687" s="5">
        <v>49.13</v>
      </c>
      <c r="E687" s="5">
        <v>76</v>
      </c>
      <c r="F687" s="5">
        <v>118.2</v>
      </c>
      <c r="G687" s="5">
        <v>128.65</v>
      </c>
      <c r="H687" s="5">
        <v>132.78</v>
      </c>
      <c r="I687" s="5">
        <v>137.86000000000001</v>
      </c>
      <c r="J687" s="5">
        <v>137.86000000000001</v>
      </c>
      <c r="K687" s="5">
        <v>142.28</v>
      </c>
      <c r="L687" s="5">
        <v>142.28</v>
      </c>
      <c r="M687" s="5">
        <v>53.44</v>
      </c>
      <c r="N687" s="5">
        <v>53.44</v>
      </c>
      <c r="O687" s="5">
        <v>53.44</v>
      </c>
      <c r="P687" s="5">
        <v>53.44</v>
      </c>
    </row>
    <row r="688" spans="1:16" ht="15" customHeight="1" x14ac:dyDescent="0.35">
      <c r="A688" s="1">
        <v>46</v>
      </c>
      <c r="B688" s="5">
        <v>33.08</v>
      </c>
      <c r="C688" s="5">
        <v>39.75</v>
      </c>
      <c r="D688" s="5">
        <v>50.12</v>
      </c>
      <c r="E688" s="5">
        <v>76.78</v>
      </c>
      <c r="F688" s="5">
        <v>120.19</v>
      </c>
      <c r="G688" s="5">
        <v>130.74</v>
      </c>
      <c r="H688" s="5">
        <v>135.65</v>
      </c>
      <c r="I688" s="5">
        <v>138.53</v>
      </c>
      <c r="J688" s="5">
        <v>138.53</v>
      </c>
      <c r="K688" s="5">
        <v>142.41</v>
      </c>
      <c r="L688" s="5">
        <v>142.41</v>
      </c>
      <c r="M688" s="5">
        <v>53.64</v>
      </c>
      <c r="N688" s="5">
        <v>53.64</v>
      </c>
      <c r="O688" s="5">
        <v>53.64</v>
      </c>
      <c r="P688" s="5">
        <v>53.64</v>
      </c>
    </row>
    <row r="689" spans="1:16" ht="15" customHeight="1" x14ac:dyDescent="0.35">
      <c r="A689" s="1">
        <v>47</v>
      </c>
      <c r="B689" s="5">
        <v>33.18</v>
      </c>
      <c r="C689" s="5">
        <v>39.840000000000003</v>
      </c>
      <c r="D689" s="5">
        <v>50.95</v>
      </c>
      <c r="E689" s="5">
        <v>76.88</v>
      </c>
      <c r="F689" s="5">
        <v>120.41</v>
      </c>
      <c r="G689" s="5">
        <v>130.94999999999999</v>
      </c>
      <c r="H689" s="5">
        <v>135.93</v>
      </c>
      <c r="I689" s="5">
        <v>138.66</v>
      </c>
      <c r="J689" s="5">
        <v>138.66</v>
      </c>
      <c r="K689" s="5">
        <v>142.51</v>
      </c>
      <c r="L689" s="5">
        <v>142.51</v>
      </c>
      <c r="M689" s="5">
        <v>53.81</v>
      </c>
      <c r="N689" s="5">
        <v>53.81</v>
      </c>
      <c r="O689" s="5">
        <v>53.81</v>
      </c>
      <c r="P689" s="5">
        <v>53.81</v>
      </c>
    </row>
    <row r="690" spans="1:16" ht="15" customHeight="1" x14ac:dyDescent="0.35">
      <c r="A690" s="1">
        <v>48</v>
      </c>
      <c r="B690" s="5">
        <v>33.869999999999997</v>
      </c>
      <c r="C690" s="5">
        <v>41.44</v>
      </c>
      <c r="D690" s="5">
        <v>51.86</v>
      </c>
      <c r="E690" s="5">
        <v>76.98</v>
      </c>
      <c r="F690" s="5">
        <v>124.73</v>
      </c>
      <c r="G690" s="5">
        <v>134.11000000000001</v>
      </c>
      <c r="H690" s="5">
        <v>137.02000000000001</v>
      </c>
      <c r="I690" s="5">
        <v>139.76</v>
      </c>
      <c r="J690" s="5">
        <v>139.76</v>
      </c>
      <c r="K690" s="5">
        <v>142.6</v>
      </c>
      <c r="L690" s="5">
        <v>142.6</v>
      </c>
      <c r="M690" s="5">
        <v>54.74</v>
      </c>
      <c r="N690" s="5">
        <v>54.74</v>
      </c>
      <c r="O690" s="5">
        <v>54.74</v>
      </c>
      <c r="P690" s="5">
        <v>54.74</v>
      </c>
    </row>
    <row r="691" spans="1:16" ht="15" customHeight="1" x14ac:dyDescent="0.35">
      <c r="A691" s="1">
        <v>49</v>
      </c>
      <c r="B691" s="5">
        <v>33.96</v>
      </c>
      <c r="C691" s="5">
        <v>41.61</v>
      </c>
      <c r="D691" s="5">
        <v>51.97</v>
      </c>
      <c r="E691" s="5">
        <v>77.06</v>
      </c>
      <c r="F691" s="5">
        <v>126.84</v>
      </c>
      <c r="G691" s="5">
        <v>134.43</v>
      </c>
      <c r="H691" s="5">
        <v>137.12</v>
      </c>
      <c r="I691" s="5">
        <v>139.87</v>
      </c>
      <c r="J691" s="5">
        <v>139.87</v>
      </c>
      <c r="K691" s="5">
        <v>142.66999999999999</v>
      </c>
      <c r="L691" s="5">
        <v>142.66999999999999</v>
      </c>
      <c r="M691" s="5">
        <v>55.91</v>
      </c>
      <c r="N691" s="5">
        <v>55.91</v>
      </c>
      <c r="O691" s="5">
        <v>55.91</v>
      </c>
      <c r="P691" s="5">
        <v>55.91</v>
      </c>
    </row>
    <row r="692" spans="1:16" ht="15" customHeight="1" x14ac:dyDescent="0.35">
      <c r="A692" s="1">
        <v>50</v>
      </c>
      <c r="B692" s="5">
        <v>34.06</v>
      </c>
      <c r="C692" s="5">
        <v>41.7</v>
      </c>
      <c r="D692" s="5">
        <v>53.59</v>
      </c>
      <c r="E692" s="5">
        <v>77.209999999999994</v>
      </c>
      <c r="F692" s="5">
        <v>129.01</v>
      </c>
      <c r="G692" s="5">
        <v>134.65</v>
      </c>
      <c r="H692" s="5">
        <v>137.34</v>
      </c>
      <c r="I692" s="5">
        <v>140.1</v>
      </c>
      <c r="J692" s="5">
        <v>140.1</v>
      </c>
      <c r="K692" s="5">
        <v>142.9</v>
      </c>
      <c r="L692" s="5">
        <v>142.9</v>
      </c>
      <c r="M692" s="5">
        <v>59.1</v>
      </c>
      <c r="N692" s="5">
        <v>59.1</v>
      </c>
      <c r="O692" s="5">
        <v>59.1</v>
      </c>
      <c r="P692" s="5">
        <v>59.1</v>
      </c>
    </row>
    <row r="693" spans="1:16" ht="15" customHeight="1" x14ac:dyDescent="0.35">
      <c r="A693" s="1">
        <v>51</v>
      </c>
      <c r="B693" s="5">
        <v>34.369999999999997</v>
      </c>
      <c r="C693" s="5">
        <v>41.88</v>
      </c>
      <c r="D693" s="5">
        <v>54.78</v>
      </c>
      <c r="E693" s="5">
        <v>80.13</v>
      </c>
      <c r="F693" s="5">
        <v>135.72</v>
      </c>
      <c r="G693" s="5">
        <v>138.94</v>
      </c>
      <c r="H693" s="5">
        <v>141.72</v>
      </c>
      <c r="I693" s="5">
        <v>144.57</v>
      </c>
      <c r="J693" s="5">
        <v>144.57</v>
      </c>
      <c r="K693" s="5">
        <v>147.46</v>
      </c>
      <c r="L693" s="5">
        <v>147.46</v>
      </c>
      <c r="M693" s="5">
        <v>59.42</v>
      </c>
      <c r="N693" s="5">
        <v>59.42</v>
      </c>
      <c r="O693" s="5">
        <v>59.42</v>
      </c>
      <c r="P693" s="5">
        <v>59.42</v>
      </c>
    </row>
    <row r="694" spans="1:16" ht="15" customHeight="1" x14ac:dyDescent="0.35">
      <c r="A694" s="1">
        <v>52</v>
      </c>
      <c r="B694" s="5">
        <v>36.799999999999997</v>
      </c>
      <c r="C694" s="5">
        <v>44.13</v>
      </c>
      <c r="D694" s="5">
        <v>56.54</v>
      </c>
      <c r="E694" s="5">
        <v>84.53</v>
      </c>
      <c r="F694" s="5">
        <v>137.79</v>
      </c>
      <c r="G694" s="5">
        <v>148.85</v>
      </c>
      <c r="H694" s="5">
        <v>152.32</v>
      </c>
      <c r="I694" s="5">
        <v>155.36000000000001</v>
      </c>
      <c r="J694" s="5">
        <v>155.36000000000001</v>
      </c>
      <c r="K694" s="5">
        <v>160.12</v>
      </c>
      <c r="L694" s="5">
        <v>160.12</v>
      </c>
      <c r="M694" s="5">
        <v>59.61</v>
      </c>
      <c r="N694" s="5">
        <v>59.61</v>
      </c>
      <c r="O694" s="5">
        <v>59.61</v>
      </c>
      <c r="P694" s="5">
        <v>59.61</v>
      </c>
    </row>
    <row r="695" spans="1:16" ht="15" customHeight="1" x14ac:dyDescent="0.35">
      <c r="A695" s="1">
        <v>53</v>
      </c>
      <c r="B695" s="5">
        <v>37.54</v>
      </c>
      <c r="C695" s="5">
        <v>45.02</v>
      </c>
      <c r="D695" s="5">
        <v>57.34</v>
      </c>
      <c r="E695" s="5">
        <v>85.16</v>
      </c>
      <c r="F695" s="5">
        <v>138</v>
      </c>
      <c r="G695" s="5">
        <v>150.37</v>
      </c>
      <c r="H695" s="5">
        <v>153.38999999999999</v>
      </c>
      <c r="I695" s="5">
        <v>156.44999999999999</v>
      </c>
      <c r="J695" s="5">
        <v>156.44999999999999</v>
      </c>
      <c r="K695" s="5">
        <v>161.38999999999999</v>
      </c>
      <c r="L695" s="5">
        <v>161.38999999999999</v>
      </c>
      <c r="M695" s="5">
        <v>61.24</v>
      </c>
      <c r="N695" s="5">
        <v>61.24</v>
      </c>
      <c r="O695" s="5">
        <v>61.24</v>
      </c>
      <c r="P695" s="5">
        <v>61.24</v>
      </c>
    </row>
    <row r="696" spans="1:16" ht="15" customHeight="1" x14ac:dyDescent="0.35">
      <c r="A696" s="1">
        <v>54</v>
      </c>
      <c r="B696" s="5">
        <v>38.07</v>
      </c>
      <c r="C696" s="5">
        <v>45.56</v>
      </c>
      <c r="D696" s="5">
        <v>58.23</v>
      </c>
      <c r="E696" s="5">
        <v>85.36</v>
      </c>
      <c r="F696" s="5">
        <v>138.30000000000001</v>
      </c>
      <c r="G696" s="5">
        <v>150.56</v>
      </c>
      <c r="H696" s="5">
        <v>153.58000000000001</v>
      </c>
      <c r="I696" s="5">
        <v>156.65</v>
      </c>
      <c r="J696" s="5">
        <v>156.65</v>
      </c>
      <c r="K696" s="5">
        <v>161.6</v>
      </c>
      <c r="L696" s="5">
        <v>161.6</v>
      </c>
      <c r="M696" s="5">
        <v>61.43</v>
      </c>
      <c r="N696" s="5">
        <v>61.43</v>
      </c>
      <c r="O696" s="5">
        <v>61.43</v>
      </c>
      <c r="P696" s="5">
        <v>61.43</v>
      </c>
    </row>
    <row r="697" spans="1:16" ht="15" customHeight="1" x14ac:dyDescent="0.35">
      <c r="A697" s="1">
        <v>55</v>
      </c>
      <c r="B697" s="5">
        <v>38.770000000000003</v>
      </c>
      <c r="C697" s="5">
        <v>45.75</v>
      </c>
      <c r="D697" s="5">
        <v>58.74</v>
      </c>
      <c r="E697" s="5">
        <v>85.54</v>
      </c>
      <c r="F697" s="5">
        <v>144.21</v>
      </c>
      <c r="G697" s="5">
        <v>150.75</v>
      </c>
      <c r="H697" s="5">
        <v>153.77000000000001</v>
      </c>
      <c r="I697" s="5">
        <v>156.84</v>
      </c>
      <c r="J697" s="5">
        <v>156.84</v>
      </c>
      <c r="K697" s="5">
        <v>161.77000000000001</v>
      </c>
      <c r="L697" s="5">
        <v>161.77000000000001</v>
      </c>
      <c r="M697" s="5">
        <v>61.62</v>
      </c>
      <c r="N697" s="5">
        <v>61.62</v>
      </c>
      <c r="O697" s="5">
        <v>61.62</v>
      </c>
      <c r="P697" s="5">
        <v>61.62</v>
      </c>
    </row>
    <row r="698" spans="1:16" ht="15" customHeight="1" x14ac:dyDescent="0.35">
      <c r="A698" s="1">
        <v>56</v>
      </c>
      <c r="B698" s="5">
        <v>39.08</v>
      </c>
      <c r="C698" s="5">
        <v>45.93</v>
      </c>
      <c r="D698" s="5">
        <v>58.92</v>
      </c>
      <c r="E698" s="5">
        <v>85.79</v>
      </c>
      <c r="F698" s="5">
        <v>144.81</v>
      </c>
      <c r="G698" s="5">
        <v>150.94</v>
      </c>
      <c r="H698" s="5">
        <v>153.97</v>
      </c>
      <c r="I698" s="5">
        <v>157.04</v>
      </c>
      <c r="J698" s="5">
        <v>157.04</v>
      </c>
      <c r="K698" s="5">
        <v>161.94</v>
      </c>
      <c r="L698" s="5">
        <v>161.94</v>
      </c>
      <c r="M698" s="5">
        <v>62.15</v>
      </c>
      <c r="N698" s="5">
        <v>62.15</v>
      </c>
      <c r="O698" s="5">
        <v>62.15</v>
      </c>
      <c r="P698" s="5">
        <v>62.15</v>
      </c>
    </row>
    <row r="699" spans="1:16" ht="15" customHeight="1" x14ac:dyDescent="0.35">
      <c r="A699" s="1">
        <v>57</v>
      </c>
      <c r="B699" s="5">
        <v>39.26</v>
      </c>
      <c r="C699" s="5">
        <v>47.9</v>
      </c>
      <c r="D699" s="5">
        <v>60.73</v>
      </c>
      <c r="E699" s="5">
        <v>90.63</v>
      </c>
      <c r="F699" s="5">
        <v>149.53</v>
      </c>
      <c r="G699" s="5">
        <v>153.99</v>
      </c>
      <c r="H699" s="5">
        <v>157.07</v>
      </c>
      <c r="I699" s="5">
        <v>160.22</v>
      </c>
      <c r="J699" s="5">
        <v>160.22</v>
      </c>
      <c r="K699" s="5">
        <v>164.83</v>
      </c>
      <c r="L699" s="5">
        <v>164.83</v>
      </c>
      <c r="M699" s="5">
        <v>62.94</v>
      </c>
      <c r="N699" s="5">
        <v>62.94</v>
      </c>
      <c r="O699" s="5">
        <v>62.94</v>
      </c>
      <c r="P699" s="5">
        <v>62.94</v>
      </c>
    </row>
    <row r="700" spans="1:16" ht="15" customHeight="1" x14ac:dyDescent="0.35">
      <c r="A700" s="1">
        <v>58</v>
      </c>
      <c r="B700" s="5">
        <v>39.44</v>
      </c>
      <c r="C700" s="5">
        <v>48.1</v>
      </c>
      <c r="D700" s="5">
        <v>60.92</v>
      </c>
      <c r="E700" s="5">
        <v>91.13</v>
      </c>
      <c r="F700" s="5">
        <v>151.27000000000001</v>
      </c>
      <c r="G700" s="5">
        <v>154.29</v>
      </c>
      <c r="H700" s="5">
        <v>157.38</v>
      </c>
      <c r="I700" s="5">
        <v>160.53</v>
      </c>
      <c r="J700" s="5">
        <v>160.53</v>
      </c>
      <c r="K700" s="5">
        <v>165.12</v>
      </c>
      <c r="L700" s="5">
        <v>165.12</v>
      </c>
      <c r="M700" s="5">
        <v>64.33</v>
      </c>
      <c r="N700" s="5">
        <v>64.33</v>
      </c>
      <c r="O700" s="5">
        <v>64.33</v>
      </c>
      <c r="P700" s="5">
        <v>64.33</v>
      </c>
    </row>
    <row r="701" spans="1:16" ht="15" customHeight="1" x14ac:dyDescent="0.35">
      <c r="A701" s="1">
        <v>59</v>
      </c>
      <c r="B701" s="5">
        <v>39.630000000000003</v>
      </c>
      <c r="C701" s="5">
        <v>48.4</v>
      </c>
      <c r="D701" s="5">
        <v>63.02</v>
      </c>
      <c r="E701" s="5">
        <v>91.33</v>
      </c>
      <c r="F701" s="5">
        <v>153.15</v>
      </c>
      <c r="G701" s="5">
        <v>156.21</v>
      </c>
      <c r="H701" s="5">
        <v>159.34</v>
      </c>
      <c r="I701" s="5">
        <v>162.53</v>
      </c>
      <c r="J701" s="5">
        <v>162.53</v>
      </c>
      <c r="K701" s="5">
        <v>165.78</v>
      </c>
      <c r="L701" s="5">
        <v>165.78</v>
      </c>
      <c r="M701" s="5">
        <v>65.19</v>
      </c>
      <c r="N701" s="5">
        <v>65.19</v>
      </c>
      <c r="O701" s="5">
        <v>65.19</v>
      </c>
      <c r="P701" s="5">
        <v>65.19</v>
      </c>
    </row>
    <row r="702" spans="1:16" ht="15" customHeight="1" x14ac:dyDescent="0.35">
      <c r="A702" s="1">
        <v>60</v>
      </c>
      <c r="B702" s="5">
        <v>39.81</v>
      </c>
      <c r="C702" s="5">
        <v>48.58</v>
      </c>
      <c r="D702" s="5">
        <v>63.37</v>
      </c>
      <c r="E702" s="5">
        <v>93.87</v>
      </c>
      <c r="F702" s="5">
        <v>155.5</v>
      </c>
      <c r="G702" s="5">
        <v>159.66999999999999</v>
      </c>
      <c r="H702" s="5">
        <v>162.88</v>
      </c>
      <c r="I702" s="5">
        <v>166.14</v>
      </c>
      <c r="J702" s="5">
        <v>166.14</v>
      </c>
      <c r="K702" s="5">
        <v>169.46</v>
      </c>
      <c r="L702" s="5">
        <v>169.46</v>
      </c>
      <c r="M702" s="5">
        <v>66.75</v>
      </c>
      <c r="N702" s="5">
        <v>66.75</v>
      </c>
      <c r="O702" s="5">
        <v>66.75</v>
      </c>
      <c r="P702" s="5">
        <v>66.75</v>
      </c>
    </row>
    <row r="703" spans="1:16" ht="15" customHeight="1" x14ac:dyDescent="0.35">
      <c r="A703" s="1">
        <v>61</v>
      </c>
      <c r="B703" s="5">
        <v>39.99</v>
      </c>
      <c r="C703" s="5">
        <v>48.77</v>
      </c>
      <c r="D703" s="5">
        <v>63.55</v>
      </c>
      <c r="E703" s="5">
        <v>94.14</v>
      </c>
      <c r="F703" s="5">
        <v>157.69999999999999</v>
      </c>
      <c r="G703" s="5">
        <v>160.99</v>
      </c>
      <c r="H703" s="5">
        <v>164.21</v>
      </c>
      <c r="I703" s="5">
        <v>167.49</v>
      </c>
      <c r="J703" s="5">
        <v>167.49</v>
      </c>
      <c r="K703" s="5">
        <v>170.85</v>
      </c>
      <c r="L703" s="5">
        <v>170.85</v>
      </c>
      <c r="M703" s="5">
        <v>66.930000000000007</v>
      </c>
      <c r="N703" s="5">
        <v>66.930000000000007</v>
      </c>
      <c r="O703" s="5">
        <v>66.930000000000007</v>
      </c>
      <c r="P703" s="5">
        <v>66.930000000000007</v>
      </c>
    </row>
    <row r="704" spans="1:16" ht="15" customHeight="1" x14ac:dyDescent="0.35">
      <c r="A704" s="1">
        <v>62</v>
      </c>
      <c r="B704" s="5">
        <v>40.18</v>
      </c>
      <c r="C704" s="5">
        <v>48.95</v>
      </c>
      <c r="D704" s="5">
        <v>63.74</v>
      </c>
      <c r="E704" s="5">
        <v>94.33</v>
      </c>
      <c r="F704" s="5">
        <v>158.05000000000001</v>
      </c>
      <c r="G704" s="5">
        <v>161.29</v>
      </c>
      <c r="H704" s="5">
        <v>164.52</v>
      </c>
      <c r="I704" s="5">
        <v>167.82</v>
      </c>
      <c r="J704" s="5">
        <v>167.82</v>
      </c>
      <c r="K704" s="5">
        <v>171.17</v>
      </c>
      <c r="L704" s="5">
        <v>171.17</v>
      </c>
      <c r="M704" s="5">
        <v>68.040000000000006</v>
      </c>
      <c r="N704" s="5">
        <v>68.040000000000006</v>
      </c>
      <c r="O704" s="5">
        <v>68.040000000000006</v>
      </c>
      <c r="P704" s="5">
        <v>68.040000000000006</v>
      </c>
    </row>
    <row r="705" spans="1:16" ht="15" customHeight="1" x14ac:dyDescent="0.35">
      <c r="A705" s="1">
        <v>63</v>
      </c>
      <c r="B705" s="5">
        <v>40.36</v>
      </c>
      <c r="C705" s="5">
        <v>49.13</v>
      </c>
      <c r="D705" s="5">
        <v>63.93</v>
      </c>
      <c r="E705" s="5">
        <v>96.28</v>
      </c>
      <c r="F705" s="5">
        <v>163.75</v>
      </c>
      <c r="G705" s="5">
        <v>167.04</v>
      </c>
      <c r="H705" s="5">
        <v>170.38</v>
      </c>
      <c r="I705" s="5">
        <v>173.79</v>
      </c>
      <c r="J705" s="5">
        <v>173.79</v>
      </c>
      <c r="K705" s="5">
        <v>177.27</v>
      </c>
      <c r="L705" s="5">
        <v>177.27</v>
      </c>
      <c r="M705" s="5">
        <v>68.760000000000005</v>
      </c>
      <c r="N705" s="5">
        <v>68.760000000000005</v>
      </c>
      <c r="O705" s="5">
        <v>68.760000000000005</v>
      </c>
      <c r="P705" s="5">
        <v>68.760000000000005</v>
      </c>
    </row>
    <row r="706" spans="1:16" ht="15" customHeight="1" x14ac:dyDescent="0.35">
      <c r="A706" s="1">
        <v>64</v>
      </c>
      <c r="B706" s="5">
        <v>42.88</v>
      </c>
      <c r="C706" s="5">
        <v>50.08</v>
      </c>
      <c r="D706" s="5">
        <v>64.11</v>
      </c>
      <c r="E706" s="5">
        <v>96.48</v>
      </c>
      <c r="F706" s="5">
        <v>164.32</v>
      </c>
      <c r="G706" s="5">
        <v>167.61</v>
      </c>
      <c r="H706" s="5">
        <v>170.97</v>
      </c>
      <c r="I706" s="5">
        <v>174.39</v>
      </c>
      <c r="J706" s="5">
        <v>174.39</v>
      </c>
      <c r="K706" s="5">
        <v>177.88</v>
      </c>
      <c r="L706" s="5">
        <v>177.88</v>
      </c>
      <c r="M706" s="5">
        <v>71.849999999999994</v>
      </c>
      <c r="N706" s="5">
        <v>71.849999999999994</v>
      </c>
      <c r="O706" s="5">
        <v>71.849999999999994</v>
      </c>
      <c r="P706" s="5">
        <v>71.849999999999994</v>
      </c>
    </row>
    <row r="707" spans="1:16" ht="15" customHeight="1" x14ac:dyDescent="0.35">
      <c r="A707" s="1">
        <v>65</v>
      </c>
      <c r="B707" s="5">
        <v>44.5</v>
      </c>
      <c r="C707" s="5">
        <v>51.41</v>
      </c>
      <c r="D707" s="5">
        <v>64.3</v>
      </c>
      <c r="E707" s="5">
        <v>99.04</v>
      </c>
      <c r="F707" s="5">
        <v>164.5</v>
      </c>
      <c r="G707" s="5">
        <v>167.79</v>
      </c>
      <c r="H707" s="5">
        <v>171.15</v>
      </c>
      <c r="I707" s="5">
        <v>174.58</v>
      </c>
      <c r="J707" s="5">
        <v>174.58</v>
      </c>
      <c r="K707" s="5">
        <v>178.08</v>
      </c>
      <c r="L707" s="5">
        <v>178.08</v>
      </c>
      <c r="M707" s="5">
        <v>72.17</v>
      </c>
      <c r="N707" s="5">
        <v>72.17</v>
      </c>
      <c r="O707" s="5">
        <v>72.17</v>
      </c>
      <c r="P707" s="5">
        <v>72.17</v>
      </c>
    </row>
    <row r="708" spans="1:16" ht="15" customHeight="1" x14ac:dyDescent="0.35">
      <c r="A708" s="1">
        <v>66</v>
      </c>
      <c r="B708" s="5">
        <v>44.68</v>
      </c>
      <c r="C708" s="5">
        <v>51.6</v>
      </c>
      <c r="D708" s="5">
        <v>65.02</v>
      </c>
      <c r="E708" s="5">
        <v>99.3</v>
      </c>
      <c r="F708" s="5">
        <v>164.79</v>
      </c>
      <c r="G708" s="5">
        <v>168.09</v>
      </c>
      <c r="H708" s="5">
        <v>171.45</v>
      </c>
      <c r="I708" s="5">
        <v>174.88</v>
      </c>
      <c r="J708" s="5">
        <v>174.88</v>
      </c>
      <c r="K708" s="5">
        <v>178.39</v>
      </c>
      <c r="L708" s="5">
        <v>178.39</v>
      </c>
      <c r="M708" s="5">
        <v>72.36</v>
      </c>
      <c r="N708" s="5">
        <v>72.36</v>
      </c>
      <c r="O708" s="5">
        <v>72.36</v>
      </c>
      <c r="P708" s="5">
        <v>72.36</v>
      </c>
    </row>
    <row r="709" spans="1:16" ht="15" customHeight="1" x14ac:dyDescent="0.35">
      <c r="A709" s="1">
        <v>67</v>
      </c>
      <c r="B709" s="5">
        <v>44.86</v>
      </c>
      <c r="C709" s="5">
        <v>52.62</v>
      </c>
      <c r="D709" s="5">
        <v>65.180000000000007</v>
      </c>
      <c r="E709" s="5">
        <v>99.49</v>
      </c>
      <c r="F709" s="5">
        <v>164.97</v>
      </c>
      <c r="G709" s="5">
        <v>168.27</v>
      </c>
      <c r="H709" s="5">
        <v>171.64</v>
      </c>
      <c r="I709" s="5">
        <v>175.08</v>
      </c>
      <c r="J709" s="5">
        <v>175.08</v>
      </c>
      <c r="K709" s="5">
        <v>178.58</v>
      </c>
      <c r="L709" s="5">
        <v>178.58</v>
      </c>
      <c r="M709" s="5">
        <v>72.8</v>
      </c>
      <c r="N709" s="5">
        <v>72.8</v>
      </c>
      <c r="O709" s="5">
        <v>72.8</v>
      </c>
      <c r="P709" s="5">
        <v>72.8</v>
      </c>
    </row>
    <row r="710" spans="1:16" ht="15" customHeight="1" x14ac:dyDescent="0.35">
      <c r="A710" s="1">
        <v>68</v>
      </c>
      <c r="B710" s="5">
        <v>45.05</v>
      </c>
      <c r="C710" s="5">
        <v>53.05</v>
      </c>
      <c r="D710" s="5">
        <v>66.989999999999995</v>
      </c>
      <c r="E710" s="5">
        <v>99.69</v>
      </c>
      <c r="F710" s="5">
        <v>165.15</v>
      </c>
      <c r="G710" s="5">
        <v>168.45</v>
      </c>
      <c r="H710" s="5">
        <v>171.83</v>
      </c>
      <c r="I710" s="5">
        <v>175.27</v>
      </c>
      <c r="J710" s="5">
        <v>175.27</v>
      </c>
      <c r="K710" s="5">
        <v>178.77</v>
      </c>
      <c r="L710" s="5">
        <v>178.77</v>
      </c>
      <c r="M710" s="5">
        <v>73.97</v>
      </c>
      <c r="N710" s="5">
        <v>73.97</v>
      </c>
      <c r="O710" s="5">
        <v>73.97</v>
      </c>
      <c r="P710" s="5">
        <v>73.97</v>
      </c>
    </row>
    <row r="711" spans="1:16" ht="15" customHeight="1" x14ac:dyDescent="0.35">
      <c r="A711" s="1">
        <v>69</v>
      </c>
      <c r="B711" s="5">
        <v>45.23</v>
      </c>
      <c r="C711" s="5">
        <v>54.23</v>
      </c>
      <c r="D711" s="5">
        <v>67.17</v>
      </c>
      <c r="E711" s="5">
        <v>100.12</v>
      </c>
      <c r="F711" s="5">
        <v>165.71</v>
      </c>
      <c r="G711" s="5">
        <v>169.03</v>
      </c>
      <c r="H711" s="5">
        <v>172.41</v>
      </c>
      <c r="I711" s="5">
        <v>175.87</v>
      </c>
      <c r="J711" s="5">
        <v>175.87</v>
      </c>
      <c r="K711" s="5">
        <v>179.38</v>
      </c>
      <c r="L711" s="5">
        <v>179.38</v>
      </c>
      <c r="M711" s="5">
        <v>75.13</v>
      </c>
      <c r="N711" s="5">
        <v>75.13</v>
      </c>
      <c r="O711" s="5">
        <v>75.13</v>
      </c>
      <c r="P711" s="5">
        <v>75.13</v>
      </c>
    </row>
    <row r="712" spans="1:16" ht="15" customHeight="1" x14ac:dyDescent="0.35">
      <c r="A712" s="1">
        <v>70</v>
      </c>
      <c r="B712" s="5">
        <v>45.41</v>
      </c>
      <c r="C712" s="5">
        <v>59.1</v>
      </c>
      <c r="D712" s="5">
        <v>69.52</v>
      </c>
      <c r="E712" s="5">
        <v>108.62</v>
      </c>
      <c r="F712" s="5">
        <v>174.42</v>
      </c>
      <c r="G712" s="5">
        <v>179.98</v>
      </c>
      <c r="H712" s="5">
        <v>183.58</v>
      </c>
      <c r="I712" s="5">
        <v>187.25</v>
      </c>
      <c r="J712" s="5">
        <v>187.25</v>
      </c>
      <c r="K712" s="5">
        <v>191.01</v>
      </c>
      <c r="L712" s="5">
        <v>191.01</v>
      </c>
      <c r="M712" s="5">
        <v>75.95</v>
      </c>
      <c r="N712" s="5">
        <v>75.95</v>
      </c>
      <c r="O712" s="5">
        <v>75.95</v>
      </c>
      <c r="P712" s="5">
        <v>75.95</v>
      </c>
    </row>
    <row r="713" spans="1:16" ht="15" customHeight="1" x14ac:dyDescent="0.35">
      <c r="A713" s="1">
        <v>71</v>
      </c>
      <c r="B713" s="5">
        <v>48.16</v>
      </c>
      <c r="C713" s="5">
        <v>59.9</v>
      </c>
      <c r="D713" s="5">
        <v>69.77</v>
      </c>
      <c r="E713" s="5">
        <v>109.47</v>
      </c>
      <c r="F713" s="5">
        <v>175.29</v>
      </c>
      <c r="G713" s="5">
        <v>181.77</v>
      </c>
      <c r="H713" s="5">
        <v>185.41</v>
      </c>
      <c r="I713" s="5">
        <v>189.12</v>
      </c>
      <c r="J713" s="5">
        <v>189.12</v>
      </c>
      <c r="K713" s="5">
        <v>192.92</v>
      </c>
      <c r="L713" s="5">
        <v>192.92</v>
      </c>
      <c r="M713" s="5">
        <v>77.010000000000005</v>
      </c>
      <c r="N713" s="5">
        <v>77.010000000000005</v>
      </c>
      <c r="O713" s="5">
        <v>77.010000000000005</v>
      </c>
      <c r="P713" s="5">
        <v>77.010000000000005</v>
      </c>
    </row>
    <row r="714" spans="1:16" ht="15" customHeight="1" x14ac:dyDescent="0.35">
      <c r="A714" s="1">
        <v>72</v>
      </c>
      <c r="B714" s="5">
        <v>48.44</v>
      </c>
      <c r="C714" s="5">
        <v>60.08</v>
      </c>
      <c r="D714" s="5">
        <v>69.94</v>
      </c>
      <c r="E714" s="5">
        <v>109.67</v>
      </c>
      <c r="F714" s="5">
        <v>178.27</v>
      </c>
      <c r="G714" s="5">
        <v>181.95</v>
      </c>
      <c r="H714" s="5">
        <v>185.6</v>
      </c>
      <c r="I714" s="5">
        <v>189.32</v>
      </c>
      <c r="J714" s="5">
        <v>189.32</v>
      </c>
      <c r="K714" s="5">
        <v>193.11</v>
      </c>
      <c r="L714" s="5">
        <v>193.11</v>
      </c>
      <c r="M714" s="5">
        <v>77.83</v>
      </c>
      <c r="N714" s="5">
        <v>77.83</v>
      </c>
      <c r="O714" s="5">
        <v>77.83</v>
      </c>
      <c r="P714" s="5">
        <v>77.83</v>
      </c>
    </row>
    <row r="715" spans="1:16" ht="15" customHeight="1" x14ac:dyDescent="0.35">
      <c r="A715" s="1">
        <v>73</v>
      </c>
      <c r="B715" s="5">
        <v>48.61</v>
      </c>
      <c r="C715" s="5">
        <v>60.27</v>
      </c>
      <c r="D715" s="5">
        <v>70.28</v>
      </c>
      <c r="E715" s="5">
        <v>111.47</v>
      </c>
      <c r="F715" s="5">
        <v>178.57</v>
      </c>
      <c r="G715" s="5">
        <v>182.14</v>
      </c>
      <c r="H715" s="5">
        <v>185.79</v>
      </c>
      <c r="I715" s="5">
        <v>189.51</v>
      </c>
      <c r="J715" s="5">
        <v>189.51</v>
      </c>
      <c r="K715" s="5">
        <v>193.3</v>
      </c>
      <c r="L715" s="5">
        <v>193.3</v>
      </c>
      <c r="M715" s="5">
        <v>79.27</v>
      </c>
      <c r="N715" s="5">
        <v>79.27</v>
      </c>
      <c r="O715" s="5">
        <v>79.27</v>
      </c>
      <c r="P715" s="5">
        <v>79.27</v>
      </c>
    </row>
    <row r="716" spans="1:16" ht="15" customHeight="1" x14ac:dyDescent="0.35">
      <c r="A716" s="1">
        <v>74</v>
      </c>
      <c r="B716" s="5">
        <v>48.78</v>
      </c>
      <c r="C716" s="5">
        <v>60.45</v>
      </c>
      <c r="D716" s="5">
        <v>70.47</v>
      </c>
      <c r="E716" s="5">
        <v>111.67</v>
      </c>
      <c r="F716" s="5">
        <v>178.82</v>
      </c>
      <c r="G716" s="5">
        <v>182.39</v>
      </c>
      <c r="H716" s="5">
        <v>186.04</v>
      </c>
      <c r="I716" s="5">
        <v>189.77</v>
      </c>
      <c r="J716" s="5">
        <v>189.77</v>
      </c>
      <c r="K716" s="5">
        <v>193.57</v>
      </c>
      <c r="L716" s="5">
        <v>193.57</v>
      </c>
      <c r="M716" s="5">
        <v>80.099999999999994</v>
      </c>
      <c r="N716" s="5">
        <v>80.099999999999994</v>
      </c>
      <c r="O716" s="5">
        <v>80.099999999999994</v>
      </c>
      <c r="P716" s="5">
        <v>80.099999999999994</v>
      </c>
    </row>
    <row r="717" spans="1:16" ht="15" customHeight="1" x14ac:dyDescent="0.35">
      <c r="A717" s="1">
        <v>75</v>
      </c>
      <c r="B717" s="5">
        <v>49.11</v>
      </c>
      <c r="C717" s="5">
        <v>60.82</v>
      </c>
      <c r="D717" s="5">
        <v>70.819999999999993</v>
      </c>
      <c r="E717" s="5">
        <v>113.92</v>
      </c>
      <c r="F717" s="5">
        <v>183.76</v>
      </c>
      <c r="G717" s="5">
        <v>187.45</v>
      </c>
      <c r="H717" s="5">
        <v>191.2</v>
      </c>
      <c r="I717" s="5">
        <v>195.03</v>
      </c>
      <c r="J717" s="5">
        <v>195.03</v>
      </c>
      <c r="K717" s="5">
        <v>198.93</v>
      </c>
      <c r="L717" s="5">
        <v>198.93</v>
      </c>
      <c r="M717" s="5">
        <v>81.08</v>
      </c>
      <c r="N717" s="5">
        <v>81.08</v>
      </c>
      <c r="O717" s="5">
        <v>81.08</v>
      </c>
      <c r="P717" s="5">
        <v>81.08</v>
      </c>
    </row>
    <row r="718" spans="1:16" ht="15" customHeight="1" x14ac:dyDescent="0.35">
      <c r="A718" s="1">
        <v>76</v>
      </c>
      <c r="B718" s="5">
        <v>50.05</v>
      </c>
      <c r="C718" s="5">
        <v>61.18</v>
      </c>
      <c r="D718" s="5">
        <v>71.19</v>
      </c>
      <c r="E718" s="5">
        <v>114.73</v>
      </c>
      <c r="F718" s="5">
        <v>186.64</v>
      </c>
      <c r="G718" s="5">
        <v>190.38</v>
      </c>
      <c r="H718" s="5">
        <v>194.18</v>
      </c>
      <c r="I718" s="5">
        <v>198.08</v>
      </c>
      <c r="J718" s="5">
        <v>198.08</v>
      </c>
      <c r="K718" s="5">
        <v>202.04</v>
      </c>
      <c r="L718" s="5">
        <v>202.04</v>
      </c>
      <c r="M718" s="5">
        <v>83.52</v>
      </c>
      <c r="N718" s="5">
        <v>83.52</v>
      </c>
      <c r="O718" s="5">
        <v>83.52</v>
      </c>
      <c r="P718" s="5">
        <v>83.52</v>
      </c>
    </row>
    <row r="719" spans="1:16" ht="15" customHeight="1" x14ac:dyDescent="0.35">
      <c r="A719" s="1">
        <v>77</v>
      </c>
      <c r="B719" s="5">
        <v>50.41</v>
      </c>
      <c r="C719" s="5">
        <v>61.54</v>
      </c>
      <c r="D719" s="5">
        <v>72.650000000000006</v>
      </c>
      <c r="E719" s="5">
        <v>115.13</v>
      </c>
      <c r="F719" s="5">
        <v>192.35</v>
      </c>
      <c r="G719" s="5">
        <v>196.24</v>
      </c>
      <c r="H719" s="5">
        <v>200.17</v>
      </c>
      <c r="I719" s="5">
        <v>204.18</v>
      </c>
      <c r="J719" s="5">
        <v>204.18</v>
      </c>
      <c r="K719" s="5">
        <v>208.26</v>
      </c>
      <c r="L719" s="5">
        <v>208.26</v>
      </c>
      <c r="M719" s="5">
        <v>84.51</v>
      </c>
      <c r="N719" s="5">
        <v>84.51</v>
      </c>
      <c r="O719" s="5">
        <v>84.51</v>
      </c>
      <c r="P719" s="5">
        <v>84.51</v>
      </c>
    </row>
    <row r="720" spans="1:16" ht="15" customHeight="1" x14ac:dyDescent="0.35">
      <c r="A720" s="1">
        <v>78</v>
      </c>
      <c r="B720" s="5">
        <v>50.77</v>
      </c>
      <c r="C720" s="5">
        <v>61.91</v>
      </c>
      <c r="D720" s="5">
        <v>74.05</v>
      </c>
      <c r="E720" s="5">
        <v>120.65</v>
      </c>
      <c r="F720" s="5">
        <v>192.93</v>
      </c>
      <c r="G720" s="5">
        <v>199.75</v>
      </c>
      <c r="H720" s="5">
        <v>214.41</v>
      </c>
      <c r="I720" s="5">
        <v>218.71</v>
      </c>
      <c r="J720" s="5">
        <v>218.71</v>
      </c>
      <c r="K720" s="5">
        <v>223.09</v>
      </c>
      <c r="L720" s="5">
        <v>223.09</v>
      </c>
      <c r="M720" s="5">
        <v>85.64</v>
      </c>
      <c r="N720" s="5">
        <v>85.64</v>
      </c>
      <c r="O720" s="5">
        <v>85.64</v>
      </c>
      <c r="P720" s="5">
        <v>85.64</v>
      </c>
    </row>
    <row r="721" spans="1:16" ht="15" customHeight="1" x14ac:dyDescent="0.35">
      <c r="A721" s="1">
        <v>79</v>
      </c>
      <c r="B721" s="5">
        <v>51.14</v>
      </c>
      <c r="C721" s="5">
        <v>62.27</v>
      </c>
      <c r="D721" s="5">
        <v>74.41</v>
      </c>
      <c r="E721" s="5">
        <v>121.2</v>
      </c>
      <c r="F721" s="5">
        <v>193.95</v>
      </c>
      <c r="G721" s="5">
        <v>211.6</v>
      </c>
      <c r="H721" s="5">
        <v>215.85</v>
      </c>
      <c r="I721" s="5">
        <v>220.17</v>
      </c>
      <c r="J721" s="5">
        <v>220.17</v>
      </c>
      <c r="K721" s="5">
        <v>224.58</v>
      </c>
      <c r="L721" s="5">
        <v>224.58</v>
      </c>
      <c r="M721" s="5">
        <v>86.85</v>
      </c>
      <c r="N721" s="5">
        <v>86.85</v>
      </c>
      <c r="O721" s="5">
        <v>86.85</v>
      </c>
      <c r="P721" s="5">
        <v>86.85</v>
      </c>
    </row>
    <row r="722" spans="1:16" ht="15" customHeight="1" x14ac:dyDescent="0.35">
      <c r="A722" s="1">
        <v>80</v>
      </c>
      <c r="B722" s="5">
        <v>51.51</v>
      </c>
      <c r="C722" s="5">
        <v>62.53</v>
      </c>
      <c r="D722" s="5">
        <v>74.77</v>
      </c>
      <c r="E722" s="5">
        <v>121.6</v>
      </c>
      <c r="F722" s="5">
        <v>204.51</v>
      </c>
      <c r="G722" s="5">
        <v>212.79</v>
      </c>
      <c r="H722" s="5">
        <v>217.04</v>
      </c>
      <c r="I722" s="5">
        <v>221.69</v>
      </c>
      <c r="J722" s="5">
        <v>221.69</v>
      </c>
      <c r="K722" s="5">
        <v>226.13</v>
      </c>
      <c r="L722" s="5">
        <v>226.13</v>
      </c>
      <c r="M722" s="5">
        <v>89.52</v>
      </c>
      <c r="N722" s="5">
        <v>89.52</v>
      </c>
      <c r="O722" s="5">
        <v>89.52</v>
      </c>
      <c r="P722" s="5">
        <v>89.52</v>
      </c>
    </row>
    <row r="723" spans="1:16" ht="15" customHeight="1" x14ac:dyDescent="0.35">
      <c r="A723" s="1">
        <v>81</v>
      </c>
      <c r="B723" s="5">
        <v>53.29</v>
      </c>
      <c r="C723" s="5">
        <v>62.97</v>
      </c>
      <c r="D723" s="5">
        <v>75.13</v>
      </c>
      <c r="E723" s="5">
        <v>121.99</v>
      </c>
      <c r="F723" s="5">
        <v>205.57</v>
      </c>
      <c r="G723" s="5">
        <v>213.44</v>
      </c>
      <c r="H723" s="5">
        <v>217.71</v>
      </c>
      <c r="I723" s="5">
        <v>222.08</v>
      </c>
      <c r="J723" s="5">
        <v>222.08</v>
      </c>
      <c r="K723" s="5">
        <v>226.51</v>
      </c>
      <c r="L723" s="5">
        <v>226.51</v>
      </c>
      <c r="M723" s="5">
        <v>89.91</v>
      </c>
      <c r="N723" s="5">
        <v>89.91</v>
      </c>
      <c r="O723" s="5">
        <v>89.91</v>
      </c>
      <c r="P723" s="5">
        <v>89.91</v>
      </c>
    </row>
    <row r="724" spans="1:16" ht="15" customHeight="1" x14ac:dyDescent="0.35">
      <c r="A724" s="1">
        <v>82</v>
      </c>
      <c r="B724" s="5">
        <v>53.81</v>
      </c>
      <c r="C724" s="5">
        <v>63.3</v>
      </c>
      <c r="D724" s="5">
        <v>75.5</v>
      </c>
      <c r="E724" s="5">
        <v>122.38</v>
      </c>
      <c r="F724" s="5">
        <v>205.96</v>
      </c>
      <c r="G724" s="5">
        <v>213.82</v>
      </c>
      <c r="H724" s="5">
        <v>218.09</v>
      </c>
      <c r="I724" s="5">
        <v>222.46</v>
      </c>
      <c r="J724" s="5">
        <v>222.46</v>
      </c>
      <c r="K724" s="5">
        <v>226.91</v>
      </c>
      <c r="L724" s="5">
        <v>226.91</v>
      </c>
      <c r="M724" s="5">
        <v>90.29</v>
      </c>
      <c r="N724" s="5">
        <v>90.29</v>
      </c>
      <c r="O724" s="5">
        <v>90.29</v>
      </c>
      <c r="P724" s="5">
        <v>90.29</v>
      </c>
    </row>
    <row r="725" spans="1:16" ht="15" customHeight="1" x14ac:dyDescent="0.35">
      <c r="A725" s="1">
        <v>83</v>
      </c>
      <c r="B725" s="5">
        <v>54.54</v>
      </c>
      <c r="C725" s="5">
        <v>64.3</v>
      </c>
      <c r="D725" s="5">
        <v>75.87</v>
      </c>
      <c r="E725" s="5">
        <v>122.77</v>
      </c>
      <c r="F725" s="5">
        <v>209.21</v>
      </c>
      <c r="G725" s="5">
        <v>214.17</v>
      </c>
      <c r="H725" s="5">
        <v>218.46</v>
      </c>
      <c r="I725" s="5">
        <v>222.84</v>
      </c>
      <c r="J725" s="5">
        <v>222.84</v>
      </c>
      <c r="K725" s="5">
        <v>227.3</v>
      </c>
      <c r="L725" s="5">
        <v>227.3</v>
      </c>
      <c r="M725" s="5">
        <v>90.79</v>
      </c>
      <c r="N725" s="5">
        <v>90.79</v>
      </c>
      <c r="O725" s="5">
        <v>90.79</v>
      </c>
      <c r="P725" s="5">
        <v>90.79</v>
      </c>
    </row>
    <row r="726" spans="1:16" ht="15" customHeight="1" x14ac:dyDescent="0.35">
      <c r="A726" s="1">
        <v>84</v>
      </c>
      <c r="B726" s="5">
        <v>54.9</v>
      </c>
      <c r="C726" s="5">
        <v>64.66</v>
      </c>
      <c r="D726" s="5">
        <v>77</v>
      </c>
      <c r="E726" s="5">
        <v>123.17</v>
      </c>
      <c r="F726" s="5">
        <v>211.45</v>
      </c>
      <c r="G726" s="5">
        <v>217.8</v>
      </c>
      <c r="H726" s="5">
        <v>222.15</v>
      </c>
      <c r="I726" s="5">
        <v>226.59</v>
      </c>
      <c r="J726" s="5">
        <v>226.59</v>
      </c>
      <c r="K726" s="5">
        <v>231.15</v>
      </c>
      <c r="L726" s="5">
        <v>231.15</v>
      </c>
      <c r="M726" s="5">
        <v>91.8</v>
      </c>
      <c r="N726" s="5">
        <v>91.8</v>
      </c>
      <c r="O726" s="5">
        <v>91.8</v>
      </c>
      <c r="P726" s="5">
        <v>91.8</v>
      </c>
    </row>
    <row r="727" spans="1:16" ht="15" customHeight="1" x14ac:dyDescent="0.35">
      <c r="A727" s="1">
        <v>85</v>
      </c>
      <c r="B727" s="5">
        <v>57.44</v>
      </c>
      <c r="C727" s="5">
        <v>66.14</v>
      </c>
      <c r="D727" s="5">
        <v>80.94</v>
      </c>
      <c r="E727" s="5">
        <v>128.19999999999999</v>
      </c>
      <c r="F727" s="5">
        <v>211.84</v>
      </c>
      <c r="G727" s="5">
        <v>218.16</v>
      </c>
      <c r="H727" s="5">
        <v>222.53</v>
      </c>
      <c r="I727" s="5">
        <v>226.98</v>
      </c>
      <c r="J727" s="5">
        <v>226.98</v>
      </c>
      <c r="K727" s="5">
        <v>231.68</v>
      </c>
      <c r="L727" s="5">
        <v>231.68</v>
      </c>
      <c r="M727" s="5">
        <v>98.68</v>
      </c>
      <c r="N727" s="5">
        <v>98.68</v>
      </c>
      <c r="O727" s="5">
        <v>98.68</v>
      </c>
      <c r="P727" s="5">
        <v>98.68</v>
      </c>
    </row>
    <row r="728" spans="1:16" ht="15" customHeight="1" x14ac:dyDescent="0.35">
      <c r="A728" s="1">
        <v>86</v>
      </c>
      <c r="B728" s="5">
        <v>57.8</v>
      </c>
      <c r="C728" s="5">
        <v>68.17</v>
      </c>
      <c r="D728" s="5">
        <v>81.34</v>
      </c>
      <c r="E728" s="5">
        <v>128.71</v>
      </c>
      <c r="F728" s="5">
        <v>212.23</v>
      </c>
      <c r="G728" s="5">
        <v>218.5</v>
      </c>
      <c r="H728" s="5">
        <v>222.89</v>
      </c>
      <c r="I728" s="5">
        <v>227.47</v>
      </c>
      <c r="J728" s="5">
        <v>227.47</v>
      </c>
      <c r="K728" s="5">
        <v>232.02</v>
      </c>
      <c r="L728" s="5">
        <v>232.02</v>
      </c>
      <c r="M728" s="5">
        <v>99.38</v>
      </c>
      <c r="N728" s="5">
        <v>99.38</v>
      </c>
      <c r="O728" s="5">
        <v>99.38</v>
      </c>
      <c r="P728" s="5">
        <v>99.38</v>
      </c>
    </row>
    <row r="729" spans="1:16" ht="15" customHeight="1" x14ac:dyDescent="0.35">
      <c r="A729" s="1">
        <v>87</v>
      </c>
      <c r="B729" s="5">
        <v>58.17</v>
      </c>
      <c r="C729" s="5">
        <v>68.53</v>
      </c>
      <c r="D729" s="5">
        <v>81.7</v>
      </c>
      <c r="E729" s="5">
        <v>129.11000000000001</v>
      </c>
      <c r="F729" s="5">
        <v>212.62</v>
      </c>
      <c r="G729" s="5">
        <v>219.98</v>
      </c>
      <c r="H729" s="5">
        <v>224.38</v>
      </c>
      <c r="I729" s="5">
        <v>228.87</v>
      </c>
      <c r="J729" s="5">
        <v>228.87</v>
      </c>
      <c r="K729" s="5">
        <v>233.45</v>
      </c>
      <c r="L729" s="5">
        <v>233.45</v>
      </c>
      <c r="M729" s="5">
        <v>99.76</v>
      </c>
      <c r="N729" s="5">
        <v>99.76</v>
      </c>
      <c r="O729" s="5">
        <v>99.76</v>
      </c>
      <c r="P729" s="5">
        <v>99.76</v>
      </c>
    </row>
    <row r="730" spans="1:16" ht="15" customHeight="1" x14ac:dyDescent="0.35">
      <c r="A730" s="1">
        <v>88</v>
      </c>
      <c r="B730" s="5">
        <v>58.53</v>
      </c>
      <c r="C730" s="5">
        <v>68.900000000000006</v>
      </c>
      <c r="D730" s="5">
        <v>82.07</v>
      </c>
      <c r="E730" s="5">
        <v>129.5</v>
      </c>
      <c r="F730" s="5">
        <v>213.01</v>
      </c>
      <c r="G730" s="5">
        <v>221.69</v>
      </c>
      <c r="H730" s="5">
        <v>226.12</v>
      </c>
      <c r="I730" s="5">
        <v>230.64</v>
      </c>
      <c r="J730" s="5">
        <v>230.64</v>
      </c>
      <c r="K730" s="5">
        <v>235.26</v>
      </c>
      <c r="L730" s="5">
        <v>235.26</v>
      </c>
      <c r="M730" s="5">
        <v>103.08</v>
      </c>
      <c r="N730" s="5">
        <v>103.08</v>
      </c>
      <c r="O730" s="5">
        <v>103.08</v>
      </c>
      <c r="P730" s="5">
        <v>103.08</v>
      </c>
    </row>
    <row r="731" spans="1:16" ht="15" customHeight="1" x14ac:dyDescent="0.35">
      <c r="A731" s="1">
        <v>89</v>
      </c>
      <c r="B731" s="5">
        <v>58.9</v>
      </c>
      <c r="C731" s="5">
        <v>69.27</v>
      </c>
      <c r="D731" s="5">
        <v>82.44</v>
      </c>
      <c r="E731" s="5">
        <v>129.88999999999999</v>
      </c>
      <c r="F731" s="5">
        <v>215.63</v>
      </c>
      <c r="G731" s="5">
        <v>222.04</v>
      </c>
      <c r="H731" s="5">
        <v>226.49</v>
      </c>
      <c r="I731" s="5">
        <v>231.03</v>
      </c>
      <c r="J731" s="5">
        <v>231.03</v>
      </c>
      <c r="K731" s="5">
        <v>235.66</v>
      </c>
      <c r="L731" s="5">
        <v>235.66</v>
      </c>
      <c r="M731" s="5">
        <v>103.47</v>
      </c>
      <c r="N731" s="5">
        <v>103.47</v>
      </c>
      <c r="O731" s="5">
        <v>103.47</v>
      </c>
      <c r="P731" s="5">
        <v>103.47</v>
      </c>
    </row>
    <row r="732" spans="1:16" ht="15" customHeight="1" x14ac:dyDescent="0.35">
      <c r="A732" s="1">
        <v>90</v>
      </c>
      <c r="B732" s="5">
        <v>59.27</v>
      </c>
      <c r="C732" s="5">
        <v>69.63</v>
      </c>
      <c r="D732" s="5">
        <v>82.8</v>
      </c>
      <c r="E732" s="5">
        <v>130.29</v>
      </c>
      <c r="F732" s="5">
        <v>217.87</v>
      </c>
      <c r="G732" s="5">
        <v>222.42</v>
      </c>
      <c r="H732" s="5">
        <v>226.87</v>
      </c>
      <c r="I732" s="5">
        <v>231.41</v>
      </c>
      <c r="J732" s="5">
        <v>231.41</v>
      </c>
      <c r="K732" s="5">
        <v>236.05</v>
      </c>
      <c r="L732" s="5">
        <v>236.05</v>
      </c>
      <c r="M732" s="5">
        <v>104.22</v>
      </c>
      <c r="N732" s="5">
        <v>104.22</v>
      </c>
      <c r="O732" s="5">
        <v>104.22</v>
      </c>
      <c r="P732" s="5">
        <v>104.22</v>
      </c>
    </row>
    <row r="733" spans="1:16" ht="15" customHeight="1" x14ac:dyDescent="0.35">
      <c r="A733" s="1">
        <v>91</v>
      </c>
      <c r="B733" s="5">
        <v>59.63</v>
      </c>
      <c r="C733" s="5">
        <v>70</v>
      </c>
      <c r="D733" s="5">
        <v>83.16</v>
      </c>
      <c r="E733" s="5">
        <v>130.68</v>
      </c>
      <c r="F733" s="5">
        <v>218.26</v>
      </c>
      <c r="G733" s="5">
        <v>222.8</v>
      </c>
      <c r="H733" s="5">
        <v>227.25</v>
      </c>
      <c r="I733" s="5">
        <v>231.8</v>
      </c>
      <c r="J733" s="5">
        <v>231.8</v>
      </c>
      <c r="K733" s="5">
        <v>236.44</v>
      </c>
      <c r="L733" s="5">
        <v>236.44</v>
      </c>
      <c r="M733" s="5">
        <v>104.61</v>
      </c>
      <c r="N733" s="5">
        <v>104.61</v>
      </c>
      <c r="O733" s="5">
        <v>104.61</v>
      </c>
      <c r="P733" s="5">
        <v>104.61</v>
      </c>
    </row>
    <row r="734" spans="1:16" ht="15" customHeight="1" x14ac:dyDescent="0.35">
      <c r="A734" s="1">
        <v>92</v>
      </c>
      <c r="B734" s="5">
        <v>59.99</v>
      </c>
      <c r="C734" s="5">
        <v>70.36</v>
      </c>
      <c r="D734" s="5">
        <v>83.52</v>
      </c>
      <c r="E734" s="5">
        <v>131.06</v>
      </c>
      <c r="F734" s="5">
        <v>218.64</v>
      </c>
      <c r="G734" s="5">
        <v>223.15</v>
      </c>
      <c r="H734" s="5">
        <v>227.62</v>
      </c>
      <c r="I734" s="5">
        <v>232.18</v>
      </c>
      <c r="J734" s="5">
        <v>232.18</v>
      </c>
      <c r="K734" s="5">
        <v>236.83</v>
      </c>
      <c r="L734" s="5">
        <v>236.83</v>
      </c>
      <c r="M734" s="5">
        <v>106.26</v>
      </c>
      <c r="N734" s="5">
        <v>106.26</v>
      </c>
      <c r="O734" s="5">
        <v>106.26</v>
      </c>
      <c r="P734" s="5">
        <v>106.26</v>
      </c>
    </row>
    <row r="735" spans="1:16" ht="15" customHeight="1" x14ac:dyDescent="0.35">
      <c r="A735" s="1">
        <v>93</v>
      </c>
      <c r="B735" s="5">
        <v>60.36</v>
      </c>
      <c r="C735" s="5">
        <v>70.73</v>
      </c>
      <c r="D735" s="5">
        <v>83.89</v>
      </c>
      <c r="E735" s="5">
        <v>131.46</v>
      </c>
      <c r="F735" s="5">
        <v>219.03</v>
      </c>
      <c r="G735" s="5">
        <v>223.52</v>
      </c>
      <c r="H735" s="5">
        <v>228</v>
      </c>
      <c r="I735" s="5">
        <v>232.56</v>
      </c>
      <c r="J735" s="5">
        <v>232.56</v>
      </c>
      <c r="K735" s="5">
        <v>237.21</v>
      </c>
      <c r="L735" s="5">
        <v>237.21</v>
      </c>
      <c r="M735" s="5">
        <v>106.64</v>
      </c>
      <c r="N735" s="5">
        <v>106.64</v>
      </c>
      <c r="O735" s="5">
        <v>106.64</v>
      </c>
      <c r="P735" s="5">
        <v>106.64</v>
      </c>
    </row>
    <row r="736" spans="1:16" ht="15" customHeight="1" x14ac:dyDescent="0.35">
      <c r="A736" s="1">
        <v>94</v>
      </c>
      <c r="B736" s="5">
        <v>60.73</v>
      </c>
      <c r="C736" s="5">
        <v>71.09</v>
      </c>
      <c r="D736" s="5">
        <v>84.26</v>
      </c>
      <c r="E736" s="5">
        <v>131.85</v>
      </c>
      <c r="F736" s="5">
        <v>219.42</v>
      </c>
      <c r="G736" s="5">
        <v>223.9</v>
      </c>
      <c r="H736" s="5">
        <v>228.38</v>
      </c>
      <c r="I736" s="5">
        <v>232.94</v>
      </c>
      <c r="J736" s="5">
        <v>232.94</v>
      </c>
      <c r="K736" s="5">
        <v>237.61</v>
      </c>
      <c r="L736" s="5">
        <v>237.61</v>
      </c>
      <c r="M736" s="5">
        <v>107.02</v>
      </c>
      <c r="N736" s="5">
        <v>107.02</v>
      </c>
      <c r="O736" s="5">
        <v>107.02</v>
      </c>
      <c r="P736" s="5">
        <v>107.02</v>
      </c>
    </row>
    <row r="737" spans="1:16" ht="15" customHeight="1" x14ac:dyDescent="0.35">
      <c r="A737" s="1">
        <v>95</v>
      </c>
      <c r="B737" s="5">
        <v>61.09</v>
      </c>
      <c r="C737" s="5">
        <v>71.459999999999994</v>
      </c>
      <c r="D737" s="5">
        <v>84.62</v>
      </c>
      <c r="E737" s="5">
        <v>132.25</v>
      </c>
      <c r="F737" s="5">
        <v>220.09</v>
      </c>
      <c r="G737" s="5">
        <v>225.88</v>
      </c>
      <c r="H737" s="5">
        <v>230.41</v>
      </c>
      <c r="I737" s="5">
        <v>235.01</v>
      </c>
      <c r="J737" s="5">
        <v>235.01</v>
      </c>
      <c r="K737" s="5">
        <v>239.72</v>
      </c>
      <c r="L737" s="5">
        <v>239.72</v>
      </c>
      <c r="M737" s="5">
        <v>107.39</v>
      </c>
      <c r="N737" s="5">
        <v>107.39</v>
      </c>
      <c r="O737" s="5">
        <v>107.39</v>
      </c>
      <c r="P737" s="5">
        <v>107.39</v>
      </c>
    </row>
    <row r="738" spans="1:16" ht="15" customHeight="1" x14ac:dyDescent="0.35">
      <c r="A738" s="1">
        <v>96</v>
      </c>
      <c r="B738" s="5">
        <v>61.82</v>
      </c>
      <c r="C738" s="5">
        <v>71.790000000000006</v>
      </c>
      <c r="D738" s="5">
        <v>87.04</v>
      </c>
      <c r="E738" s="5">
        <v>134.59</v>
      </c>
      <c r="F738" s="5">
        <v>221.81</v>
      </c>
      <c r="G738" s="5">
        <v>226.25</v>
      </c>
      <c r="H738" s="5">
        <v>230.78</v>
      </c>
      <c r="I738" s="5">
        <v>235.4</v>
      </c>
      <c r="J738" s="5">
        <v>235.4</v>
      </c>
      <c r="K738" s="5">
        <v>240.11</v>
      </c>
      <c r="L738" s="5">
        <v>240.11</v>
      </c>
      <c r="M738" s="5">
        <v>110.71</v>
      </c>
      <c r="N738" s="5">
        <v>110.71</v>
      </c>
      <c r="O738" s="5">
        <v>110.71</v>
      </c>
      <c r="P738" s="5">
        <v>110.71</v>
      </c>
    </row>
    <row r="739" spans="1:16" ht="15" customHeight="1" x14ac:dyDescent="0.35">
      <c r="A739" s="1">
        <v>97</v>
      </c>
      <c r="B739" s="5">
        <v>62.08</v>
      </c>
      <c r="C739" s="5">
        <v>72.19</v>
      </c>
      <c r="D739" s="5">
        <v>89.15</v>
      </c>
      <c r="E739" s="5">
        <v>134.97999999999999</v>
      </c>
      <c r="F739" s="5">
        <v>226.48</v>
      </c>
      <c r="G739" s="5">
        <v>231.01</v>
      </c>
      <c r="H739" s="5">
        <v>235.64</v>
      </c>
      <c r="I739" s="5">
        <v>240.35</v>
      </c>
      <c r="J739" s="5">
        <v>240.35</v>
      </c>
      <c r="K739" s="5">
        <v>245.16</v>
      </c>
      <c r="L739" s="5">
        <v>245.16</v>
      </c>
      <c r="M739" s="5">
        <v>112.6</v>
      </c>
      <c r="N739" s="5">
        <v>112.6</v>
      </c>
      <c r="O739" s="5">
        <v>112.6</v>
      </c>
      <c r="P739" s="5">
        <v>112.6</v>
      </c>
    </row>
    <row r="740" spans="1:16" ht="15" customHeight="1" x14ac:dyDescent="0.35">
      <c r="A740" s="1">
        <v>98</v>
      </c>
      <c r="B740" s="5">
        <v>62.35</v>
      </c>
      <c r="C740" s="5">
        <v>72.45</v>
      </c>
      <c r="D740" s="5">
        <v>89.51</v>
      </c>
      <c r="E740" s="5">
        <v>135.38</v>
      </c>
      <c r="F740" s="5">
        <v>231.77</v>
      </c>
      <c r="G740" s="5">
        <v>236.41</v>
      </c>
      <c r="H740" s="5">
        <v>241.15</v>
      </c>
      <c r="I740" s="5">
        <v>245.98</v>
      </c>
      <c r="J740" s="5">
        <v>245.98</v>
      </c>
      <c r="K740" s="5">
        <v>250.9</v>
      </c>
      <c r="L740" s="5">
        <v>250.9</v>
      </c>
      <c r="M740" s="5">
        <v>112.98</v>
      </c>
      <c r="N740" s="5">
        <v>112.98</v>
      </c>
      <c r="O740" s="5">
        <v>112.98</v>
      </c>
      <c r="P740" s="5">
        <v>112.98</v>
      </c>
    </row>
    <row r="741" spans="1:16" ht="15" customHeight="1" x14ac:dyDescent="0.35">
      <c r="A741" s="1">
        <v>99</v>
      </c>
      <c r="B741" s="5">
        <v>62.62</v>
      </c>
      <c r="C741" s="5">
        <v>72.92</v>
      </c>
      <c r="D741" s="5">
        <v>91.62</v>
      </c>
      <c r="E741" s="5">
        <v>143.25</v>
      </c>
      <c r="F741" s="5">
        <v>235.76</v>
      </c>
      <c r="G741" s="5">
        <v>247.06</v>
      </c>
      <c r="H741" s="5">
        <v>254.82</v>
      </c>
      <c r="I741" s="5">
        <v>259.91000000000003</v>
      </c>
      <c r="J741" s="5">
        <v>259.91000000000003</v>
      </c>
      <c r="K741" s="5">
        <v>265.11</v>
      </c>
      <c r="L741" s="5">
        <v>265.11</v>
      </c>
      <c r="M741" s="5">
        <v>115.54</v>
      </c>
      <c r="N741" s="5">
        <v>115.54</v>
      </c>
      <c r="O741" s="5">
        <v>115.54</v>
      </c>
      <c r="P741" s="5">
        <v>115.54</v>
      </c>
    </row>
    <row r="742" spans="1:16" ht="15" customHeight="1" x14ac:dyDescent="0.35">
      <c r="A742" s="1">
        <v>100</v>
      </c>
      <c r="B742" s="5">
        <v>62.88</v>
      </c>
      <c r="C742" s="5">
        <v>78.680000000000007</v>
      </c>
      <c r="D742" s="5">
        <v>101.12</v>
      </c>
      <c r="E742" s="5">
        <v>150.62</v>
      </c>
      <c r="F742" s="5">
        <v>239.03</v>
      </c>
      <c r="G742" s="5">
        <v>273.24</v>
      </c>
      <c r="H742" s="5">
        <v>281.47000000000003</v>
      </c>
      <c r="I742" s="5">
        <v>286.97000000000003</v>
      </c>
      <c r="J742" s="5">
        <v>286.97000000000003</v>
      </c>
      <c r="K742" s="5">
        <v>293.64999999999998</v>
      </c>
      <c r="L742" s="5">
        <v>293.64999999999998</v>
      </c>
      <c r="M742" s="5">
        <v>127.32</v>
      </c>
      <c r="N742" s="5">
        <v>127.32</v>
      </c>
      <c r="O742" s="5">
        <v>127.32</v>
      </c>
      <c r="P742" s="5">
        <v>127.32</v>
      </c>
    </row>
    <row r="743" spans="1:16" ht="15" customHeight="1" x14ac:dyDescent="0.35">
      <c r="A743" s="1">
        <v>101</v>
      </c>
      <c r="B743" s="5">
        <v>63.51</v>
      </c>
      <c r="C743" s="5">
        <v>79.47</v>
      </c>
      <c r="D743" s="5">
        <v>102.13</v>
      </c>
      <c r="E743" s="5">
        <v>152.13</v>
      </c>
      <c r="F743" s="5">
        <v>241.42</v>
      </c>
      <c r="G743" s="5">
        <v>275.97000000000003</v>
      </c>
      <c r="H743" s="5">
        <v>284.27999999999997</v>
      </c>
      <c r="I743" s="5">
        <v>289.83999999999997</v>
      </c>
      <c r="J743" s="5">
        <v>289.83999999999997</v>
      </c>
      <c r="K743" s="5">
        <v>296.58</v>
      </c>
      <c r="L743" s="5">
        <v>296.58</v>
      </c>
      <c r="M743" s="5">
        <v>128.59</v>
      </c>
      <c r="N743" s="5">
        <v>128.59</v>
      </c>
      <c r="O743" s="5">
        <v>128.59</v>
      </c>
      <c r="P743" s="5">
        <v>128.59</v>
      </c>
    </row>
    <row r="744" spans="1:16" ht="15" customHeight="1" x14ac:dyDescent="0.35">
      <c r="A744" s="1">
        <v>102</v>
      </c>
      <c r="B744" s="5">
        <v>64.13</v>
      </c>
      <c r="C744" s="5">
        <v>80.25</v>
      </c>
      <c r="D744" s="5">
        <v>103.14</v>
      </c>
      <c r="E744" s="5">
        <v>153.63</v>
      </c>
      <c r="F744" s="5">
        <v>243.81</v>
      </c>
      <c r="G744" s="5">
        <v>278.7</v>
      </c>
      <c r="H744" s="5">
        <v>287.10000000000002</v>
      </c>
      <c r="I744" s="5">
        <v>292.70999999999998</v>
      </c>
      <c r="J744" s="5">
        <v>292.70999999999998</v>
      </c>
      <c r="K744" s="5">
        <v>299.52</v>
      </c>
      <c r="L744" s="5">
        <v>299.52</v>
      </c>
      <c r="M744" s="5">
        <v>129.87</v>
      </c>
      <c r="N744" s="5">
        <v>129.87</v>
      </c>
      <c r="O744" s="5">
        <v>129.87</v>
      </c>
      <c r="P744" s="5">
        <v>129.87</v>
      </c>
    </row>
    <row r="745" spans="1:16" ht="15" customHeight="1" x14ac:dyDescent="0.35">
      <c r="A745" s="1">
        <v>103</v>
      </c>
      <c r="B745" s="5">
        <v>64.760000000000005</v>
      </c>
      <c r="C745" s="5">
        <v>81.040000000000006</v>
      </c>
      <c r="D745" s="5">
        <v>104.15</v>
      </c>
      <c r="E745" s="5">
        <v>155.13999999999999</v>
      </c>
      <c r="F745" s="5">
        <v>246.2</v>
      </c>
      <c r="G745" s="5">
        <v>281.43</v>
      </c>
      <c r="H745" s="5">
        <v>289.91000000000003</v>
      </c>
      <c r="I745" s="5">
        <v>295.58</v>
      </c>
      <c r="J745" s="5">
        <v>295.58</v>
      </c>
      <c r="K745" s="5">
        <v>302.45999999999998</v>
      </c>
      <c r="L745" s="5">
        <v>302.45999999999998</v>
      </c>
      <c r="M745" s="5">
        <v>131.13999999999999</v>
      </c>
      <c r="N745" s="5">
        <v>131.13999999999999</v>
      </c>
      <c r="O745" s="5">
        <v>131.13999999999999</v>
      </c>
      <c r="P745" s="5">
        <v>131.13999999999999</v>
      </c>
    </row>
    <row r="746" spans="1:16" ht="15" customHeight="1" x14ac:dyDescent="0.35">
      <c r="A746" s="1">
        <v>104</v>
      </c>
      <c r="B746" s="5">
        <v>65.39</v>
      </c>
      <c r="C746" s="5">
        <v>81.83</v>
      </c>
      <c r="D746" s="5">
        <v>105.16</v>
      </c>
      <c r="E746" s="5">
        <v>156.63999999999999</v>
      </c>
      <c r="F746" s="5">
        <v>248.59</v>
      </c>
      <c r="G746" s="5">
        <v>284.17</v>
      </c>
      <c r="H746" s="5">
        <v>292.73</v>
      </c>
      <c r="I746" s="5">
        <v>298.45</v>
      </c>
      <c r="J746" s="5">
        <v>298.45</v>
      </c>
      <c r="K746" s="5">
        <v>305.39999999999998</v>
      </c>
      <c r="L746" s="5">
        <v>305.39999999999998</v>
      </c>
      <c r="M746" s="5">
        <v>132.41</v>
      </c>
      <c r="N746" s="5">
        <v>132.41</v>
      </c>
      <c r="O746" s="5">
        <v>132.41</v>
      </c>
      <c r="P746" s="5">
        <v>132.41</v>
      </c>
    </row>
    <row r="747" spans="1:16" ht="15" customHeight="1" x14ac:dyDescent="0.35">
      <c r="A747" s="1">
        <v>105</v>
      </c>
      <c r="B747" s="5">
        <v>66.02</v>
      </c>
      <c r="C747" s="5">
        <v>82.62</v>
      </c>
      <c r="D747" s="5">
        <v>106.18</v>
      </c>
      <c r="E747" s="5">
        <v>158.15</v>
      </c>
      <c r="F747" s="5">
        <v>250.98</v>
      </c>
      <c r="G747" s="5">
        <v>286.89</v>
      </c>
      <c r="H747" s="5">
        <v>295.54000000000002</v>
      </c>
      <c r="I747" s="5">
        <v>301.32</v>
      </c>
      <c r="J747" s="5">
        <v>301.32</v>
      </c>
      <c r="K747" s="5">
        <v>308.32</v>
      </c>
      <c r="L747" s="5">
        <v>308.32</v>
      </c>
      <c r="M747" s="5">
        <v>133.69</v>
      </c>
      <c r="N747" s="5">
        <v>133.69</v>
      </c>
      <c r="O747" s="5">
        <v>133.69</v>
      </c>
      <c r="P747" s="5">
        <v>133.69</v>
      </c>
    </row>
    <row r="748" spans="1:16" ht="15" customHeight="1" x14ac:dyDescent="0.35">
      <c r="A748" s="1">
        <v>106</v>
      </c>
      <c r="B748" s="5">
        <v>66.650000000000006</v>
      </c>
      <c r="C748" s="5">
        <v>83.4</v>
      </c>
      <c r="D748" s="5">
        <v>107.19</v>
      </c>
      <c r="E748" s="5">
        <v>159.66</v>
      </c>
      <c r="F748" s="5">
        <v>253.37</v>
      </c>
      <c r="G748" s="5">
        <v>289.63</v>
      </c>
      <c r="H748" s="5">
        <v>298.36</v>
      </c>
      <c r="I748" s="5">
        <v>304.19</v>
      </c>
      <c r="J748" s="5">
        <v>304.19</v>
      </c>
      <c r="K748" s="5">
        <v>311.26</v>
      </c>
      <c r="L748" s="5">
        <v>311.26</v>
      </c>
      <c r="M748" s="5">
        <v>134.96</v>
      </c>
      <c r="N748" s="5">
        <v>134.96</v>
      </c>
      <c r="O748" s="5">
        <v>134.96</v>
      </c>
      <c r="P748" s="5">
        <v>134.96</v>
      </c>
    </row>
    <row r="749" spans="1:16" ht="15" customHeight="1" x14ac:dyDescent="0.35">
      <c r="A749" s="1">
        <v>107</v>
      </c>
      <c r="B749" s="5">
        <v>67.28</v>
      </c>
      <c r="C749" s="5">
        <v>84.19</v>
      </c>
      <c r="D749" s="5">
        <v>108.2</v>
      </c>
      <c r="E749" s="5">
        <v>161.16</v>
      </c>
      <c r="F749" s="5">
        <v>255.76</v>
      </c>
      <c r="G749" s="5">
        <v>292.36</v>
      </c>
      <c r="H749" s="5">
        <v>301.17</v>
      </c>
      <c r="I749" s="5">
        <v>307.06</v>
      </c>
      <c r="J749" s="5">
        <v>307.06</v>
      </c>
      <c r="K749" s="5">
        <v>314.2</v>
      </c>
      <c r="L749" s="5">
        <v>314.2</v>
      </c>
      <c r="M749" s="5">
        <v>136.22999999999999</v>
      </c>
      <c r="N749" s="5">
        <v>136.22999999999999</v>
      </c>
      <c r="O749" s="5">
        <v>136.22999999999999</v>
      </c>
      <c r="P749" s="5">
        <v>136.22999999999999</v>
      </c>
    </row>
    <row r="750" spans="1:16" ht="15" customHeight="1" x14ac:dyDescent="0.35">
      <c r="A750" s="1">
        <v>108</v>
      </c>
      <c r="B750" s="5">
        <v>67.91</v>
      </c>
      <c r="C750" s="5">
        <v>84.98</v>
      </c>
      <c r="D750" s="5">
        <v>109.21</v>
      </c>
      <c r="E750" s="5">
        <v>162.66999999999999</v>
      </c>
      <c r="F750" s="5">
        <v>258.14999999999998</v>
      </c>
      <c r="G750" s="5">
        <v>295.10000000000002</v>
      </c>
      <c r="H750" s="5">
        <v>303.99</v>
      </c>
      <c r="I750" s="5">
        <v>309.93</v>
      </c>
      <c r="J750" s="5">
        <v>309.93</v>
      </c>
      <c r="K750" s="5">
        <v>317.14</v>
      </c>
      <c r="L750" s="5">
        <v>317.14</v>
      </c>
      <c r="M750" s="5">
        <v>137.51</v>
      </c>
      <c r="N750" s="5">
        <v>137.51</v>
      </c>
      <c r="O750" s="5">
        <v>137.51</v>
      </c>
      <c r="P750" s="5">
        <v>137.51</v>
      </c>
    </row>
    <row r="751" spans="1:16" ht="15" customHeight="1" x14ac:dyDescent="0.35">
      <c r="A751" s="1">
        <v>109</v>
      </c>
      <c r="B751" s="5">
        <v>68.540000000000006</v>
      </c>
      <c r="C751" s="5">
        <v>85.76</v>
      </c>
      <c r="D751" s="5">
        <v>110.22</v>
      </c>
      <c r="E751" s="5">
        <v>164.18</v>
      </c>
      <c r="F751" s="5">
        <v>260.54000000000002</v>
      </c>
      <c r="G751" s="5">
        <v>297.82</v>
      </c>
      <c r="H751" s="5">
        <v>306.8</v>
      </c>
      <c r="I751" s="5">
        <v>312.8</v>
      </c>
      <c r="J751" s="5">
        <v>312.8</v>
      </c>
      <c r="K751" s="5">
        <v>320.08</v>
      </c>
      <c r="L751" s="5">
        <v>320.08</v>
      </c>
      <c r="M751" s="5">
        <v>138.78</v>
      </c>
      <c r="N751" s="5">
        <v>138.78</v>
      </c>
      <c r="O751" s="5">
        <v>138.78</v>
      </c>
      <c r="P751" s="5">
        <v>138.78</v>
      </c>
    </row>
    <row r="752" spans="1:16" ht="15" customHeight="1" x14ac:dyDescent="0.35">
      <c r="A752" s="1">
        <v>110</v>
      </c>
      <c r="B752" s="5">
        <v>69.17</v>
      </c>
      <c r="C752" s="5">
        <v>86.55</v>
      </c>
      <c r="D752" s="5">
        <v>111.23</v>
      </c>
      <c r="E752" s="5">
        <v>165.68</v>
      </c>
      <c r="F752" s="5">
        <v>262.93</v>
      </c>
      <c r="G752" s="5">
        <v>300.56</v>
      </c>
      <c r="H752" s="5">
        <v>309.61</v>
      </c>
      <c r="I752" s="5">
        <v>315.67</v>
      </c>
      <c r="J752" s="5">
        <v>315.67</v>
      </c>
      <c r="K752" s="5">
        <v>323.01</v>
      </c>
      <c r="L752" s="5">
        <v>323.01</v>
      </c>
      <c r="M752" s="5">
        <v>140.05000000000001</v>
      </c>
      <c r="N752" s="5">
        <v>140.05000000000001</v>
      </c>
      <c r="O752" s="5">
        <v>140.05000000000001</v>
      </c>
      <c r="P752" s="5">
        <v>140.05000000000001</v>
      </c>
    </row>
    <row r="753" spans="1:16" ht="15" customHeight="1" x14ac:dyDescent="0.35">
      <c r="A753" s="1">
        <v>111</v>
      </c>
      <c r="B753" s="5">
        <v>69.790000000000006</v>
      </c>
      <c r="C753" s="5">
        <v>87.34</v>
      </c>
      <c r="D753" s="5">
        <v>112.24</v>
      </c>
      <c r="E753" s="5">
        <v>167.19</v>
      </c>
      <c r="F753" s="5">
        <v>265.32</v>
      </c>
      <c r="G753" s="5">
        <v>303.29000000000002</v>
      </c>
      <c r="H753" s="5">
        <v>312.42</v>
      </c>
      <c r="I753" s="5">
        <v>318.54000000000002</v>
      </c>
      <c r="J753" s="5">
        <v>318.54000000000002</v>
      </c>
      <c r="K753" s="5">
        <v>325.95</v>
      </c>
      <c r="L753" s="5">
        <v>325.95</v>
      </c>
      <c r="M753" s="5">
        <v>141.33000000000001</v>
      </c>
      <c r="N753" s="5">
        <v>141.33000000000001</v>
      </c>
      <c r="O753" s="5">
        <v>141.33000000000001</v>
      </c>
      <c r="P753" s="5">
        <v>141.33000000000001</v>
      </c>
    </row>
    <row r="754" spans="1:16" ht="15" customHeight="1" x14ac:dyDescent="0.35">
      <c r="A754" s="1">
        <v>112</v>
      </c>
      <c r="B754" s="5">
        <v>70.42</v>
      </c>
      <c r="C754" s="5">
        <v>88.13</v>
      </c>
      <c r="D754" s="5">
        <v>113.25</v>
      </c>
      <c r="E754" s="5">
        <v>168.69</v>
      </c>
      <c r="F754" s="5">
        <v>267.70999999999998</v>
      </c>
      <c r="G754" s="5">
        <v>306.02</v>
      </c>
      <c r="H754" s="5">
        <v>315.24</v>
      </c>
      <c r="I754" s="5">
        <v>321.41000000000003</v>
      </c>
      <c r="J754" s="5">
        <v>321.41000000000003</v>
      </c>
      <c r="K754" s="5">
        <v>328.89</v>
      </c>
      <c r="L754" s="5">
        <v>328.89</v>
      </c>
      <c r="M754" s="5">
        <v>142.6</v>
      </c>
      <c r="N754" s="5">
        <v>142.6</v>
      </c>
      <c r="O754" s="5">
        <v>142.6</v>
      </c>
      <c r="P754" s="5">
        <v>142.6</v>
      </c>
    </row>
    <row r="755" spans="1:16" ht="15" customHeight="1" x14ac:dyDescent="0.35">
      <c r="A755" s="1">
        <v>113</v>
      </c>
      <c r="B755" s="5">
        <v>71.05</v>
      </c>
      <c r="C755" s="5">
        <v>88.9</v>
      </c>
      <c r="D755" s="5">
        <v>114.27</v>
      </c>
      <c r="E755" s="5">
        <v>170.2</v>
      </c>
      <c r="F755" s="5">
        <v>270.10000000000002</v>
      </c>
      <c r="G755" s="5">
        <v>308.76</v>
      </c>
      <c r="H755" s="5">
        <v>318.05</v>
      </c>
      <c r="I755" s="5">
        <v>324.27999999999997</v>
      </c>
      <c r="J755" s="5">
        <v>324.27999999999997</v>
      </c>
      <c r="K755" s="5">
        <v>331.82</v>
      </c>
      <c r="L755" s="5">
        <v>331.82</v>
      </c>
      <c r="M755" s="5">
        <v>143.87</v>
      </c>
      <c r="N755" s="5">
        <v>143.87</v>
      </c>
      <c r="O755" s="5">
        <v>143.87</v>
      </c>
      <c r="P755" s="5">
        <v>143.87</v>
      </c>
    </row>
    <row r="756" spans="1:16" ht="15" customHeight="1" x14ac:dyDescent="0.35">
      <c r="A756" s="1">
        <v>114</v>
      </c>
      <c r="B756" s="5">
        <v>71.680000000000007</v>
      </c>
      <c r="C756" s="5">
        <v>89.69</v>
      </c>
      <c r="D756" s="5">
        <v>115.28</v>
      </c>
      <c r="E756" s="5">
        <v>171.71</v>
      </c>
      <c r="F756" s="5">
        <v>272.49</v>
      </c>
      <c r="G756" s="5">
        <v>311.49</v>
      </c>
      <c r="H756" s="5">
        <v>320.87</v>
      </c>
      <c r="I756" s="5">
        <v>327.14999999999998</v>
      </c>
      <c r="J756" s="5">
        <v>327.14999999999998</v>
      </c>
      <c r="K756" s="5">
        <v>334.75</v>
      </c>
      <c r="L756" s="5">
        <v>334.75</v>
      </c>
      <c r="M756" s="5">
        <v>145.13999999999999</v>
      </c>
      <c r="N756" s="5">
        <v>145.13999999999999</v>
      </c>
      <c r="O756" s="5">
        <v>145.13999999999999</v>
      </c>
      <c r="P756" s="5">
        <v>145.13999999999999</v>
      </c>
    </row>
    <row r="757" spans="1:16" ht="15" customHeight="1" x14ac:dyDescent="0.35">
      <c r="A757" s="1">
        <v>115</v>
      </c>
      <c r="B757" s="5">
        <v>72.31</v>
      </c>
      <c r="C757" s="5">
        <v>90.48</v>
      </c>
      <c r="D757" s="5">
        <v>116.29</v>
      </c>
      <c r="E757" s="5">
        <v>173.21</v>
      </c>
      <c r="F757" s="5">
        <v>274.88</v>
      </c>
      <c r="G757" s="5">
        <v>314.22000000000003</v>
      </c>
      <c r="H757" s="5">
        <v>323.68</v>
      </c>
      <c r="I757" s="5">
        <v>330.02</v>
      </c>
      <c r="J757" s="5">
        <v>330.02</v>
      </c>
      <c r="K757" s="5">
        <v>337.69</v>
      </c>
      <c r="L757" s="5">
        <v>337.69</v>
      </c>
      <c r="M757" s="5">
        <v>146.41999999999999</v>
      </c>
      <c r="N757" s="5">
        <v>146.41999999999999</v>
      </c>
      <c r="O757" s="5">
        <v>146.41999999999999</v>
      </c>
      <c r="P757" s="5">
        <v>146.41999999999999</v>
      </c>
    </row>
    <row r="758" spans="1:16" ht="15" customHeight="1" x14ac:dyDescent="0.35">
      <c r="A758" s="1">
        <v>116</v>
      </c>
      <c r="B758" s="5">
        <v>72.94</v>
      </c>
      <c r="C758" s="5">
        <v>91.26</v>
      </c>
      <c r="D758" s="5">
        <v>117.3</v>
      </c>
      <c r="E758" s="5">
        <v>174.72</v>
      </c>
      <c r="F758" s="5">
        <v>277.27</v>
      </c>
      <c r="G758" s="5">
        <v>316.95</v>
      </c>
      <c r="H758" s="5">
        <v>326.5</v>
      </c>
      <c r="I758" s="5">
        <v>332.89</v>
      </c>
      <c r="J758" s="5">
        <v>332.89</v>
      </c>
      <c r="K758" s="5">
        <v>340.63</v>
      </c>
      <c r="L758" s="5">
        <v>340.63</v>
      </c>
      <c r="M758" s="5">
        <v>147.69</v>
      </c>
      <c r="N758" s="5">
        <v>147.69</v>
      </c>
      <c r="O758" s="5">
        <v>147.69</v>
      </c>
      <c r="P758" s="5">
        <v>147.69</v>
      </c>
    </row>
    <row r="759" spans="1:16" ht="15" customHeight="1" x14ac:dyDescent="0.35">
      <c r="A759" s="1">
        <v>117</v>
      </c>
      <c r="B759" s="5">
        <v>73.569999999999993</v>
      </c>
      <c r="C759" s="5">
        <v>92.05</v>
      </c>
      <c r="D759" s="5">
        <v>118.31</v>
      </c>
      <c r="E759" s="5">
        <v>176.23</v>
      </c>
      <c r="F759" s="5">
        <v>279.67</v>
      </c>
      <c r="G759" s="5">
        <v>319.69</v>
      </c>
      <c r="H759" s="5">
        <v>329.31</v>
      </c>
      <c r="I759" s="5">
        <v>335.75</v>
      </c>
      <c r="J759" s="5">
        <v>335.75</v>
      </c>
      <c r="K759" s="5">
        <v>343.57</v>
      </c>
      <c r="L759" s="5">
        <v>343.57</v>
      </c>
      <c r="M759" s="5">
        <v>148.96</v>
      </c>
      <c r="N759" s="5">
        <v>148.96</v>
      </c>
      <c r="O759" s="5">
        <v>148.96</v>
      </c>
      <c r="P759" s="5">
        <v>148.96</v>
      </c>
    </row>
    <row r="760" spans="1:16" ht="15" customHeight="1" x14ac:dyDescent="0.35">
      <c r="A760" s="1">
        <v>118</v>
      </c>
      <c r="B760" s="5">
        <v>74.2</v>
      </c>
      <c r="C760" s="5">
        <v>92.84</v>
      </c>
      <c r="D760" s="5">
        <v>119.32</v>
      </c>
      <c r="E760" s="5">
        <v>177.73</v>
      </c>
      <c r="F760" s="5">
        <v>282.06</v>
      </c>
      <c r="G760" s="5">
        <v>322.42</v>
      </c>
      <c r="H760" s="5">
        <v>332.13</v>
      </c>
      <c r="I760" s="5">
        <v>338.62</v>
      </c>
      <c r="J760" s="5">
        <v>338.62</v>
      </c>
      <c r="K760" s="5">
        <v>346.5</v>
      </c>
      <c r="L760" s="5">
        <v>346.5</v>
      </c>
      <c r="M760" s="5">
        <v>150.24</v>
      </c>
      <c r="N760" s="5">
        <v>150.24</v>
      </c>
      <c r="O760" s="5">
        <v>150.24</v>
      </c>
      <c r="P760" s="5">
        <v>150.24</v>
      </c>
    </row>
    <row r="761" spans="1:16" ht="15" customHeight="1" x14ac:dyDescent="0.35">
      <c r="A761" s="1">
        <v>119</v>
      </c>
      <c r="B761" s="5">
        <v>74.83</v>
      </c>
      <c r="C761" s="5">
        <v>93.62</v>
      </c>
      <c r="D761" s="5">
        <v>120.33</v>
      </c>
      <c r="E761" s="5">
        <v>179.24</v>
      </c>
      <c r="F761" s="5">
        <v>284.45</v>
      </c>
      <c r="G761" s="5">
        <v>325.14999999999998</v>
      </c>
      <c r="H761" s="5">
        <v>334.94</v>
      </c>
      <c r="I761" s="5">
        <v>341.49</v>
      </c>
      <c r="J761" s="5">
        <v>341.49</v>
      </c>
      <c r="K761" s="5">
        <v>349.44</v>
      </c>
      <c r="L761" s="5">
        <v>349.44</v>
      </c>
      <c r="M761" s="5">
        <v>151.51</v>
      </c>
      <c r="N761" s="5">
        <v>151.51</v>
      </c>
      <c r="O761" s="5">
        <v>151.51</v>
      </c>
      <c r="P761" s="5">
        <v>151.51</v>
      </c>
    </row>
    <row r="762" spans="1:16" ht="15" customHeight="1" x14ac:dyDescent="0.35">
      <c r="A762" s="1">
        <v>120</v>
      </c>
      <c r="B762" s="5">
        <v>75.45</v>
      </c>
      <c r="C762" s="5">
        <v>94.41</v>
      </c>
      <c r="D762" s="5">
        <v>121.34</v>
      </c>
      <c r="E762" s="5">
        <v>180.74</v>
      </c>
      <c r="F762" s="5">
        <v>286.83999999999997</v>
      </c>
      <c r="G762" s="5">
        <v>327.88</v>
      </c>
      <c r="H762" s="5">
        <v>337.76</v>
      </c>
      <c r="I762" s="5">
        <v>344.36</v>
      </c>
      <c r="J762" s="5">
        <v>344.36</v>
      </c>
      <c r="K762" s="5">
        <v>352.38</v>
      </c>
      <c r="L762" s="5">
        <v>352.38</v>
      </c>
      <c r="M762" s="5">
        <v>152.78</v>
      </c>
      <c r="N762" s="5">
        <v>152.78</v>
      </c>
      <c r="O762" s="5">
        <v>152.78</v>
      </c>
      <c r="P762" s="5">
        <v>152.78</v>
      </c>
    </row>
    <row r="763" spans="1:16" ht="15" customHeight="1" x14ac:dyDescent="0.35">
      <c r="A763" s="1">
        <v>121</v>
      </c>
      <c r="B763" s="5">
        <v>76.08</v>
      </c>
      <c r="C763" s="5">
        <v>95.2</v>
      </c>
      <c r="D763" s="5">
        <v>122.36</v>
      </c>
      <c r="E763" s="5">
        <v>182.25</v>
      </c>
      <c r="F763" s="5">
        <v>289.23</v>
      </c>
      <c r="G763" s="5">
        <v>330.62</v>
      </c>
      <c r="H763" s="5">
        <v>340.57</v>
      </c>
      <c r="I763" s="5">
        <v>347.23</v>
      </c>
      <c r="J763" s="5">
        <v>347.23</v>
      </c>
      <c r="K763" s="5">
        <v>355.31</v>
      </c>
      <c r="L763" s="5">
        <v>355.31</v>
      </c>
      <c r="M763" s="5">
        <v>154.06</v>
      </c>
      <c r="N763" s="5">
        <v>154.06</v>
      </c>
      <c r="O763" s="5">
        <v>154.06</v>
      </c>
      <c r="P763" s="5">
        <v>154.06</v>
      </c>
    </row>
    <row r="764" spans="1:16" ht="15" customHeight="1" x14ac:dyDescent="0.35">
      <c r="A764" s="1">
        <v>122</v>
      </c>
      <c r="B764" s="5">
        <v>76.709999999999994</v>
      </c>
      <c r="C764" s="5">
        <v>95.99</v>
      </c>
      <c r="D764" s="5">
        <v>123.37</v>
      </c>
      <c r="E764" s="5">
        <v>183.76</v>
      </c>
      <c r="F764" s="5">
        <v>291.62</v>
      </c>
      <c r="G764" s="5">
        <v>333.34</v>
      </c>
      <c r="H764" s="5">
        <v>343.39</v>
      </c>
      <c r="I764" s="5">
        <v>350.1</v>
      </c>
      <c r="J764" s="5">
        <v>350.1</v>
      </c>
      <c r="K764" s="5">
        <v>358.25</v>
      </c>
      <c r="L764" s="5">
        <v>358.25</v>
      </c>
      <c r="M764" s="5">
        <v>155.33000000000001</v>
      </c>
      <c r="N764" s="5">
        <v>155.33000000000001</v>
      </c>
      <c r="O764" s="5">
        <v>155.33000000000001</v>
      </c>
      <c r="P764" s="5">
        <v>155.33000000000001</v>
      </c>
    </row>
    <row r="765" spans="1:16" ht="15" customHeight="1" x14ac:dyDescent="0.35">
      <c r="A765" s="1">
        <v>123</v>
      </c>
      <c r="B765" s="5">
        <v>77.34</v>
      </c>
      <c r="C765" s="5">
        <v>96.77</v>
      </c>
      <c r="D765" s="5">
        <v>124.38</v>
      </c>
      <c r="E765" s="5">
        <v>185.26</v>
      </c>
      <c r="F765" s="5">
        <v>294.01</v>
      </c>
      <c r="G765" s="5">
        <v>336.08</v>
      </c>
      <c r="H765" s="5">
        <v>346.2</v>
      </c>
      <c r="I765" s="5">
        <v>352.97</v>
      </c>
      <c r="J765" s="5">
        <v>352.97</v>
      </c>
      <c r="K765" s="5">
        <v>361.18</v>
      </c>
      <c r="L765" s="5">
        <v>361.18</v>
      </c>
      <c r="M765" s="5">
        <v>156.6</v>
      </c>
      <c r="N765" s="5">
        <v>156.6</v>
      </c>
      <c r="O765" s="5">
        <v>156.6</v>
      </c>
      <c r="P765" s="5">
        <v>156.6</v>
      </c>
    </row>
    <row r="766" spans="1:16" ht="15" customHeight="1" x14ac:dyDescent="0.35">
      <c r="A766" s="1">
        <v>124</v>
      </c>
      <c r="B766" s="5">
        <v>77.97</v>
      </c>
      <c r="C766" s="5">
        <v>97.56</v>
      </c>
      <c r="D766" s="5">
        <v>125.39</v>
      </c>
      <c r="E766" s="5">
        <v>186.77</v>
      </c>
      <c r="F766" s="5">
        <v>296.39999999999998</v>
      </c>
      <c r="G766" s="5">
        <v>338.81</v>
      </c>
      <c r="H766" s="5">
        <v>349.02</v>
      </c>
      <c r="I766" s="5">
        <v>355.84</v>
      </c>
      <c r="J766" s="5">
        <v>355.84</v>
      </c>
      <c r="K766" s="5">
        <v>364.12</v>
      </c>
      <c r="L766" s="5">
        <v>364.12</v>
      </c>
      <c r="M766" s="5">
        <v>157.88</v>
      </c>
      <c r="N766" s="5">
        <v>157.88</v>
      </c>
      <c r="O766" s="5">
        <v>157.88</v>
      </c>
      <c r="P766" s="5">
        <v>157.88</v>
      </c>
    </row>
    <row r="767" spans="1:16" ht="15" customHeight="1" x14ac:dyDescent="0.35">
      <c r="A767" s="1">
        <v>125</v>
      </c>
      <c r="B767" s="5">
        <v>78.599999999999994</v>
      </c>
      <c r="C767" s="5">
        <v>98.35</v>
      </c>
      <c r="D767" s="5">
        <v>126.4</v>
      </c>
      <c r="E767" s="5">
        <v>188.27</v>
      </c>
      <c r="F767" s="5">
        <v>298.79000000000002</v>
      </c>
      <c r="G767" s="5">
        <v>341.54</v>
      </c>
      <c r="H767" s="5">
        <v>351.83</v>
      </c>
      <c r="I767" s="5">
        <v>358.71</v>
      </c>
      <c r="J767" s="5">
        <v>358.71</v>
      </c>
      <c r="K767" s="5">
        <v>367.06</v>
      </c>
      <c r="L767" s="5">
        <v>367.06</v>
      </c>
      <c r="M767" s="5">
        <v>159.15</v>
      </c>
      <c r="N767" s="5">
        <v>159.15</v>
      </c>
      <c r="O767" s="5">
        <v>159.15</v>
      </c>
      <c r="P767" s="5">
        <v>159.15</v>
      </c>
    </row>
    <row r="768" spans="1:16" ht="15" customHeight="1" x14ac:dyDescent="0.35">
      <c r="A768" s="1">
        <v>126</v>
      </c>
      <c r="B768" s="5">
        <v>79.23</v>
      </c>
      <c r="C768" s="5">
        <v>99.13</v>
      </c>
      <c r="D768" s="5">
        <v>127.41</v>
      </c>
      <c r="E768" s="5">
        <v>189.78</v>
      </c>
      <c r="F768" s="5">
        <v>301.18</v>
      </c>
      <c r="G768" s="5">
        <v>344.28</v>
      </c>
      <c r="H768" s="5">
        <v>354.65</v>
      </c>
      <c r="I768" s="5">
        <v>361.58</v>
      </c>
      <c r="J768" s="5">
        <v>361.58</v>
      </c>
      <c r="K768" s="5">
        <v>370</v>
      </c>
      <c r="L768" s="5">
        <v>370</v>
      </c>
      <c r="M768" s="5">
        <v>160.41999999999999</v>
      </c>
      <c r="N768" s="5">
        <v>160.41999999999999</v>
      </c>
      <c r="O768" s="5">
        <v>160.41999999999999</v>
      </c>
      <c r="P768" s="5">
        <v>160.41999999999999</v>
      </c>
    </row>
    <row r="769" spans="1:16" ht="15" customHeight="1" x14ac:dyDescent="0.35">
      <c r="A769" s="1">
        <v>127</v>
      </c>
      <c r="B769" s="5">
        <v>79.86</v>
      </c>
      <c r="C769" s="5">
        <v>99.92</v>
      </c>
      <c r="D769" s="5">
        <v>128.41999999999999</v>
      </c>
      <c r="E769" s="5">
        <v>191.29</v>
      </c>
      <c r="F769" s="5">
        <v>303.57</v>
      </c>
      <c r="G769" s="5">
        <v>347.01</v>
      </c>
      <c r="H769" s="5">
        <v>357.47</v>
      </c>
      <c r="I769" s="5">
        <v>364.45</v>
      </c>
      <c r="J769" s="5">
        <v>364.45</v>
      </c>
      <c r="K769" s="5">
        <v>372.93</v>
      </c>
      <c r="L769" s="5">
        <v>372.93</v>
      </c>
      <c r="M769" s="5">
        <v>161.69999999999999</v>
      </c>
      <c r="N769" s="5">
        <v>161.69999999999999</v>
      </c>
      <c r="O769" s="5">
        <v>161.69999999999999</v>
      </c>
      <c r="P769" s="5">
        <v>161.69999999999999</v>
      </c>
    </row>
    <row r="770" spans="1:16" ht="15" customHeight="1" x14ac:dyDescent="0.35">
      <c r="A770" s="1">
        <v>128</v>
      </c>
      <c r="B770" s="5">
        <v>80.489999999999995</v>
      </c>
      <c r="C770" s="5">
        <v>100.71</v>
      </c>
      <c r="D770" s="5">
        <v>129.43</v>
      </c>
      <c r="E770" s="5">
        <v>192.79</v>
      </c>
      <c r="F770" s="5">
        <v>305.95999999999998</v>
      </c>
      <c r="G770" s="5">
        <v>349.75</v>
      </c>
      <c r="H770" s="5">
        <v>360.28</v>
      </c>
      <c r="I770" s="5">
        <v>367.32</v>
      </c>
      <c r="J770" s="5">
        <v>367.32</v>
      </c>
      <c r="K770" s="5">
        <v>375.87</v>
      </c>
      <c r="L770" s="5">
        <v>375.87</v>
      </c>
      <c r="M770" s="5">
        <v>162.97</v>
      </c>
      <c r="N770" s="5">
        <v>162.97</v>
      </c>
      <c r="O770" s="5">
        <v>162.97</v>
      </c>
      <c r="P770" s="5">
        <v>162.97</v>
      </c>
    </row>
    <row r="771" spans="1:16" ht="15" customHeight="1" x14ac:dyDescent="0.35">
      <c r="A771" s="1">
        <v>129</v>
      </c>
      <c r="B771" s="5">
        <v>81.11</v>
      </c>
      <c r="C771" s="5">
        <v>101.5</v>
      </c>
      <c r="D771" s="5">
        <v>130.44</v>
      </c>
      <c r="E771" s="5">
        <v>194.3</v>
      </c>
      <c r="F771" s="5">
        <v>308.35000000000002</v>
      </c>
      <c r="G771" s="5">
        <v>352.47</v>
      </c>
      <c r="H771" s="5">
        <v>363.1</v>
      </c>
      <c r="I771" s="5">
        <v>370.19</v>
      </c>
      <c r="J771" s="5">
        <v>370.19</v>
      </c>
      <c r="K771" s="5">
        <v>378.81</v>
      </c>
      <c r="L771" s="5">
        <v>378.81</v>
      </c>
      <c r="M771" s="5">
        <v>164.24</v>
      </c>
      <c r="N771" s="5">
        <v>164.24</v>
      </c>
      <c r="O771" s="5">
        <v>164.24</v>
      </c>
      <c r="P771" s="5">
        <v>164.24</v>
      </c>
    </row>
    <row r="772" spans="1:16" ht="15" customHeight="1" x14ac:dyDescent="0.35">
      <c r="A772" s="1">
        <v>130</v>
      </c>
      <c r="B772" s="5">
        <v>81.739999999999995</v>
      </c>
      <c r="C772" s="5">
        <v>102.28</v>
      </c>
      <c r="D772" s="5">
        <v>131.46</v>
      </c>
      <c r="E772" s="5">
        <v>195.81</v>
      </c>
      <c r="F772" s="5">
        <v>310.74</v>
      </c>
      <c r="G772" s="5">
        <v>355.21</v>
      </c>
      <c r="H772" s="5">
        <v>365.9</v>
      </c>
      <c r="I772" s="5">
        <v>373.06</v>
      </c>
      <c r="J772" s="5">
        <v>373.06</v>
      </c>
      <c r="K772" s="5">
        <v>381.74</v>
      </c>
      <c r="L772" s="5">
        <v>381.74</v>
      </c>
      <c r="M772" s="5">
        <v>165.52</v>
      </c>
      <c r="N772" s="5">
        <v>165.52</v>
      </c>
      <c r="O772" s="5">
        <v>165.52</v>
      </c>
      <c r="P772" s="5">
        <v>165.52</v>
      </c>
    </row>
    <row r="773" spans="1:16" ht="15" customHeight="1" x14ac:dyDescent="0.35">
      <c r="A773" s="1">
        <v>131</v>
      </c>
      <c r="B773" s="5">
        <v>82.37</v>
      </c>
      <c r="C773" s="5">
        <v>103.07</v>
      </c>
      <c r="D773" s="5">
        <v>132.47</v>
      </c>
      <c r="E773" s="5">
        <v>197.31</v>
      </c>
      <c r="F773" s="5">
        <v>313.13</v>
      </c>
      <c r="G773" s="5">
        <v>357.94</v>
      </c>
      <c r="H773" s="5">
        <v>368.72</v>
      </c>
      <c r="I773" s="5">
        <v>375.93</v>
      </c>
      <c r="J773" s="5">
        <v>375.93</v>
      </c>
      <c r="K773" s="5">
        <v>384.67</v>
      </c>
      <c r="L773" s="5">
        <v>384.67</v>
      </c>
      <c r="M773" s="5">
        <v>166.79</v>
      </c>
      <c r="N773" s="5">
        <v>166.79</v>
      </c>
      <c r="O773" s="5">
        <v>166.79</v>
      </c>
      <c r="P773" s="5">
        <v>166.79</v>
      </c>
    </row>
    <row r="774" spans="1:16" ht="15" customHeight="1" x14ac:dyDescent="0.35">
      <c r="A774" s="1">
        <v>132</v>
      </c>
      <c r="B774" s="5">
        <v>83</v>
      </c>
      <c r="C774" s="5">
        <v>103.86</v>
      </c>
      <c r="D774" s="5">
        <v>133.47999999999999</v>
      </c>
      <c r="E774" s="5">
        <v>198.82</v>
      </c>
      <c r="F774" s="5">
        <v>315.52</v>
      </c>
      <c r="G774" s="5">
        <v>360.67</v>
      </c>
      <c r="H774" s="5">
        <v>371.53</v>
      </c>
      <c r="I774" s="5">
        <v>378.8</v>
      </c>
      <c r="J774" s="5">
        <v>378.8</v>
      </c>
      <c r="K774" s="5">
        <v>387.61</v>
      </c>
      <c r="L774" s="5">
        <v>387.61</v>
      </c>
      <c r="M774" s="5">
        <v>168.06</v>
      </c>
      <c r="N774" s="5">
        <v>168.06</v>
      </c>
      <c r="O774" s="5">
        <v>168.06</v>
      </c>
      <c r="P774" s="5">
        <v>168.06</v>
      </c>
    </row>
    <row r="775" spans="1:16" ht="15" customHeight="1" x14ac:dyDescent="0.35">
      <c r="A775" s="1">
        <v>133</v>
      </c>
      <c r="B775" s="5">
        <v>83.63</v>
      </c>
      <c r="C775" s="5">
        <v>104.64</v>
      </c>
      <c r="D775" s="5">
        <v>134.49</v>
      </c>
      <c r="E775" s="5">
        <v>200.32</v>
      </c>
      <c r="F775" s="5">
        <v>317.91000000000003</v>
      </c>
      <c r="G775" s="5">
        <v>363.4</v>
      </c>
      <c r="H775" s="5">
        <v>374.35</v>
      </c>
      <c r="I775" s="5">
        <v>381.67</v>
      </c>
      <c r="J775" s="5">
        <v>381.67</v>
      </c>
      <c r="K775" s="5">
        <v>390.55</v>
      </c>
      <c r="L775" s="5">
        <v>390.55</v>
      </c>
      <c r="M775" s="5">
        <v>169.34</v>
      </c>
      <c r="N775" s="5">
        <v>169.34</v>
      </c>
      <c r="O775" s="5">
        <v>169.34</v>
      </c>
      <c r="P775" s="5">
        <v>169.34</v>
      </c>
    </row>
    <row r="776" spans="1:16" ht="15" customHeight="1" x14ac:dyDescent="0.35">
      <c r="A776" s="1">
        <v>134</v>
      </c>
      <c r="B776" s="5">
        <v>84.26</v>
      </c>
      <c r="C776" s="5">
        <v>105.43</v>
      </c>
      <c r="D776" s="5">
        <v>135.5</v>
      </c>
      <c r="E776" s="5">
        <v>201.83</v>
      </c>
      <c r="F776" s="5">
        <v>320.3</v>
      </c>
      <c r="G776" s="5">
        <v>366.14</v>
      </c>
      <c r="H776" s="5">
        <v>377.16</v>
      </c>
      <c r="I776" s="5">
        <v>384.54</v>
      </c>
      <c r="J776" s="5">
        <v>384.54</v>
      </c>
      <c r="K776" s="5">
        <v>393.49</v>
      </c>
      <c r="L776" s="5">
        <v>393.49</v>
      </c>
      <c r="M776" s="5">
        <v>170.61</v>
      </c>
      <c r="N776" s="5">
        <v>170.61</v>
      </c>
      <c r="O776" s="5">
        <v>170.61</v>
      </c>
      <c r="P776" s="5">
        <v>170.61</v>
      </c>
    </row>
    <row r="777" spans="1:16" ht="15" customHeight="1" x14ac:dyDescent="0.35">
      <c r="A777" s="1">
        <v>135</v>
      </c>
      <c r="B777" s="5">
        <v>84.89</v>
      </c>
      <c r="C777" s="5">
        <v>106.22</v>
      </c>
      <c r="D777" s="5">
        <v>136.51</v>
      </c>
      <c r="E777" s="5">
        <v>203.34</v>
      </c>
      <c r="F777" s="5">
        <v>322.69</v>
      </c>
      <c r="G777" s="5">
        <v>368.86</v>
      </c>
      <c r="H777" s="5">
        <v>379.98</v>
      </c>
      <c r="I777" s="5">
        <v>387.41</v>
      </c>
      <c r="J777" s="5">
        <v>387.41</v>
      </c>
      <c r="K777" s="5">
        <v>396.42</v>
      </c>
      <c r="L777" s="5">
        <v>396.42</v>
      </c>
      <c r="M777" s="5">
        <v>171.88</v>
      </c>
      <c r="N777" s="5">
        <v>171.88</v>
      </c>
      <c r="O777" s="5">
        <v>171.88</v>
      </c>
      <c r="P777" s="5">
        <v>171.88</v>
      </c>
    </row>
    <row r="778" spans="1:16" ht="15" customHeight="1" x14ac:dyDescent="0.35">
      <c r="A778" s="1">
        <v>136</v>
      </c>
      <c r="B778" s="5">
        <v>85.52</v>
      </c>
      <c r="C778" s="5">
        <v>107.01</v>
      </c>
      <c r="D778" s="5">
        <v>137.52000000000001</v>
      </c>
      <c r="E778" s="5">
        <v>204.84</v>
      </c>
      <c r="F778" s="5">
        <v>325.08</v>
      </c>
      <c r="G778" s="5">
        <v>371.6</v>
      </c>
      <c r="H778" s="5">
        <v>382.79</v>
      </c>
      <c r="I778" s="5">
        <v>390.28</v>
      </c>
      <c r="J778" s="5">
        <v>390.28</v>
      </c>
      <c r="K778" s="5">
        <v>399.36</v>
      </c>
      <c r="L778" s="5">
        <v>399.36</v>
      </c>
      <c r="M778" s="5">
        <v>173.16</v>
      </c>
      <c r="N778" s="5">
        <v>173.16</v>
      </c>
      <c r="O778" s="5">
        <v>173.16</v>
      </c>
      <c r="P778" s="5">
        <v>173.16</v>
      </c>
    </row>
    <row r="779" spans="1:16" ht="15" customHeight="1" x14ac:dyDescent="0.35">
      <c r="A779" s="1">
        <v>137</v>
      </c>
      <c r="B779" s="5">
        <v>86.15</v>
      </c>
      <c r="C779" s="5">
        <v>107.79</v>
      </c>
      <c r="D779" s="5">
        <v>138.53</v>
      </c>
      <c r="E779" s="5">
        <v>206.35</v>
      </c>
      <c r="F779" s="5">
        <v>327.47000000000003</v>
      </c>
      <c r="G779" s="5">
        <v>374.33</v>
      </c>
      <c r="H779" s="5">
        <v>385.61</v>
      </c>
      <c r="I779" s="5">
        <v>393.15</v>
      </c>
      <c r="J779" s="5">
        <v>393.15</v>
      </c>
      <c r="K779" s="5">
        <v>402.3</v>
      </c>
      <c r="L779" s="5">
        <v>402.3</v>
      </c>
      <c r="M779" s="5">
        <v>174.43</v>
      </c>
      <c r="N779" s="5">
        <v>174.43</v>
      </c>
      <c r="O779" s="5">
        <v>174.43</v>
      </c>
      <c r="P779" s="5">
        <v>174.43</v>
      </c>
    </row>
    <row r="780" spans="1:16" ht="15" customHeight="1" x14ac:dyDescent="0.35">
      <c r="A780" s="1">
        <v>138</v>
      </c>
      <c r="B780" s="5">
        <v>86.77</v>
      </c>
      <c r="C780" s="5">
        <v>108.58</v>
      </c>
      <c r="D780" s="5">
        <v>139.55000000000001</v>
      </c>
      <c r="E780" s="5">
        <v>207.86</v>
      </c>
      <c r="F780" s="5">
        <v>329.86</v>
      </c>
      <c r="G780" s="5">
        <v>377.07</v>
      </c>
      <c r="H780" s="5">
        <v>388.42</v>
      </c>
      <c r="I780" s="5">
        <v>396.02</v>
      </c>
      <c r="J780" s="5">
        <v>396.02</v>
      </c>
      <c r="K780" s="5">
        <v>405.23</v>
      </c>
      <c r="L780" s="5">
        <v>405.23</v>
      </c>
      <c r="M780" s="5">
        <v>175.7</v>
      </c>
      <c r="N780" s="5">
        <v>175.7</v>
      </c>
      <c r="O780" s="5">
        <v>175.7</v>
      </c>
      <c r="P780" s="5">
        <v>175.7</v>
      </c>
    </row>
    <row r="781" spans="1:16" ht="15" customHeight="1" x14ac:dyDescent="0.35">
      <c r="A781" s="1">
        <v>139</v>
      </c>
      <c r="B781" s="5">
        <v>87.4</v>
      </c>
      <c r="C781" s="5">
        <v>109.37</v>
      </c>
      <c r="D781" s="5">
        <v>140.56</v>
      </c>
      <c r="E781" s="5">
        <v>209.36</v>
      </c>
      <c r="F781" s="5">
        <v>332.25</v>
      </c>
      <c r="G781" s="5">
        <v>379.8</v>
      </c>
      <c r="H781" s="5">
        <v>391.24</v>
      </c>
      <c r="I781" s="5">
        <v>398.89</v>
      </c>
      <c r="J781" s="5">
        <v>398.89</v>
      </c>
      <c r="K781" s="5">
        <v>408.17</v>
      </c>
      <c r="L781" s="5">
        <v>408.17</v>
      </c>
      <c r="M781" s="5">
        <v>176.97</v>
      </c>
      <c r="N781" s="5">
        <v>176.97</v>
      </c>
      <c r="O781" s="5">
        <v>176.97</v>
      </c>
      <c r="P781" s="5">
        <v>176.97</v>
      </c>
    </row>
    <row r="782" spans="1:16" ht="15" customHeight="1" x14ac:dyDescent="0.35">
      <c r="A782" s="1">
        <v>140</v>
      </c>
      <c r="B782" s="5">
        <v>88.03</v>
      </c>
      <c r="C782" s="5">
        <v>110.15</v>
      </c>
      <c r="D782" s="5">
        <v>141.57</v>
      </c>
      <c r="E782" s="5">
        <v>210.87</v>
      </c>
      <c r="F782" s="5">
        <v>334.64</v>
      </c>
      <c r="G782" s="5">
        <v>382.53</v>
      </c>
      <c r="H782" s="5">
        <v>394.05</v>
      </c>
      <c r="I782" s="5">
        <v>401.76</v>
      </c>
      <c r="J782" s="5">
        <v>401.76</v>
      </c>
      <c r="K782" s="5">
        <v>411.1</v>
      </c>
      <c r="L782" s="5">
        <v>411.1</v>
      </c>
      <c r="M782" s="5">
        <v>178.25</v>
      </c>
      <c r="N782" s="5">
        <v>178.25</v>
      </c>
      <c r="O782" s="5">
        <v>178.25</v>
      </c>
      <c r="P782" s="5">
        <v>178.25</v>
      </c>
    </row>
    <row r="783" spans="1:16" ht="15" customHeight="1" x14ac:dyDescent="0.35">
      <c r="A783" s="1">
        <v>141</v>
      </c>
      <c r="B783" s="5">
        <v>88.66</v>
      </c>
      <c r="C783" s="5">
        <v>110.94</v>
      </c>
      <c r="D783" s="5">
        <v>142.58000000000001</v>
      </c>
      <c r="E783" s="5">
        <v>212.37</v>
      </c>
      <c r="F783" s="5">
        <v>337.03</v>
      </c>
      <c r="G783" s="5">
        <v>385.27</v>
      </c>
      <c r="H783" s="5">
        <v>396.87</v>
      </c>
      <c r="I783" s="5">
        <v>404.63</v>
      </c>
      <c r="J783" s="5">
        <v>404.63</v>
      </c>
      <c r="K783" s="5">
        <v>414.04</v>
      </c>
      <c r="L783" s="5">
        <v>414.04</v>
      </c>
      <c r="M783" s="5">
        <v>179.52</v>
      </c>
      <c r="N783" s="5">
        <v>179.52</v>
      </c>
      <c r="O783" s="5">
        <v>179.52</v>
      </c>
      <c r="P783" s="5">
        <v>179.52</v>
      </c>
    </row>
    <row r="784" spans="1:16" ht="15" customHeight="1" x14ac:dyDescent="0.35">
      <c r="A784" s="1">
        <v>142</v>
      </c>
      <c r="B784" s="5">
        <v>89.29</v>
      </c>
      <c r="C784" s="5">
        <v>111.73</v>
      </c>
      <c r="D784" s="5">
        <v>143.59</v>
      </c>
      <c r="E784" s="5">
        <v>213.88</v>
      </c>
      <c r="F784" s="5">
        <v>339.42</v>
      </c>
      <c r="G784" s="5">
        <v>387.99</v>
      </c>
      <c r="H784" s="5">
        <v>399.68</v>
      </c>
      <c r="I784" s="5">
        <v>407.5</v>
      </c>
      <c r="J784" s="5">
        <v>407.5</v>
      </c>
      <c r="K784" s="5">
        <v>416.98</v>
      </c>
      <c r="L784" s="5">
        <v>416.98</v>
      </c>
      <c r="M784" s="5">
        <v>180.79</v>
      </c>
      <c r="N784" s="5">
        <v>180.79</v>
      </c>
      <c r="O784" s="5">
        <v>180.79</v>
      </c>
      <c r="P784" s="5">
        <v>180.79</v>
      </c>
    </row>
    <row r="785" spans="1:16" ht="15" customHeight="1" x14ac:dyDescent="0.35">
      <c r="A785" s="1">
        <v>143</v>
      </c>
      <c r="B785" s="5">
        <v>89.92</v>
      </c>
      <c r="C785" s="5">
        <v>112.52</v>
      </c>
      <c r="D785" s="5">
        <v>144.6</v>
      </c>
      <c r="E785" s="5">
        <v>215.39</v>
      </c>
      <c r="F785" s="5">
        <v>341.81</v>
      </c>
      <c r="G785" s="5">
        <v>390.73</v>
      </c>
      <c r="H785" s="5">
        <v>402.5</v>
      </c>
      <c r="I785" s="5">
        <v>410.37</v>
      </c>
      <c r="J785" s="5">
        <v>410.37</v>
      </c>
      <c r="K785" s="5">
        <v>419.92</v>
      </c>
      <c r="L785" s="5">
        <v>419.92</v>
      </c>
      <c r="M785" s="5">
        <v>182.07</v>
      </c>
      <c r="N785" s="5">
        <v>182.07</v>
      </c>
      <c r="O785" s="5">
        <v>182.07</v>
      </c>
      <c r="P785" s="5">
        <v>182.07</v>
      </c>
    </row>
    <row r="786" spans="1:16" ht="15" customHeight="1" x14ac:dyDescent="0.35">
      <c r="A786" s="1">
        <v>144</v>
      </c>
      <c r="B786" s="5">
        <v>90.55</v>
      </c>
      <c r="C786" s="5">
        <v>113.3</v>
      </c>
      <c r="D786" s="5">
        <v>145.61000000000001</v>
      </c>
      <c r="E786" s="5">
        <v>216.89</v>
      </c>
      <c r="F786" s="5">
        <v>344.2</v>
      </c>
      <c r="G786" s="5">
        <v>393.46</v>
      </c>
      <c r="H786" s="5">
        <v>405.31</v>
      </c>
      <c r="I786" s="5">
        <v>413.24</v>
      </c>
      <c r="J786" s="5">
        <v>413.24</v>
      </c>
      <c r="K786" s="5">
        <v>422.85</v>
      </c>
      <c r="L786" s="5">
        <v>422.85</v>
      </c>
      <c r="M786" s="5">
        <v>183.34</v>
      </c>
      <c r="N786" s="5">
        <v>183.34</v>
      </c>
      <c r="O786" s="5">
        <v>183.34</v>
      </c>
      <c r="P786" s="5">
        <v>183.34</v>
      </c>
    </row>
    <row r="787" spans="1:16" ht="15" customHeight="1" x14ac:dyDescent="0.35">
      <c r="A787" s="1">
        <v>145</v>
      </c>
      <c r="B787" s="5">
        <v>91.18</v>
      </c>
      <c r="C787" s="5">
        <v>114.08</v>
      </c>
      <c r="D787" s="5">
        <v>146.62</v>
      </c>
      <c r="E787" s="5">
        <v>218.4</v>
      </c>
      <c r="F787" s="5">
        <v>346.59</v>
      </c>
      <c r="G787" s="5">
        <v>396.19</v>
      </c>
      <c r="H787" s="5">
        <v>408.13</v>
      </c>
      <c r="I787" s="5">
        <v>416.11</v>
      </c>
      <c r="J787" s="5">
        <v>416.11</v>
      </c>
      <c r="K787" s="5">
        <v>425.79</v>
      </c>
      <c r="L787" s="5">
        <v>425.79</v>
      </c>
      <c r="M787" s="5">
        <v>184.61</v>
      </c>
      <c r="N787" s="5">
        <v>184.61</v>
      </c>
      <c r="O787" s="5">
        <v>184.61</v>
      </c>
      <c r="P787" s="5">
        <v>184.61</v>
      </c>
    </row>
    <row r="788" spans="1:16" ht="15" customHeight="1" x14ac:dyDescent="0.35">
      <c r="A788" s="1">
        <v>146</v>
      </c>
      <c r="B788" s="5">
        <v>91.81</v>
      </c>
      <c r="C788" s="5">
        <v>114.87</v>
      </c>
      <c r="D788" s="5">
        <v>147.63999999999999</v>
      </c>
      <c r="E788" s="5">
        <v>219.91</v>
      </c>
      <c r="F788" s="5">
        <v>348.98</v>
      </c>
      <c r="G788" s="5">
        <v>398.92</v>
      </c>
      <c r="H788" s="5">
        <v>410.94</v>
      </c>
      <c r="I788" s="5">
        <v>418.98</v>
      </c>
      <c r="J788" s="5">
        <v>418.98</v>
      </c>
      <c r="K788" s="5">
        <v>428.72</v>
      </c>
      <c r="L788" s="5">
        <v>428.72</v>
      </c>
      <c r="M788" s="5">
        <v>185.89</v>
      </c>
      <c r="N788" s="5">
        <v>185.89</v>
      </c>
      <c r="O788" s="5">
        <v>185.89</v>
      </c>
      <c r="P788" s="5">
        <v>185.89</v>
      </c>
    </row>
    <row r="789" spans="1:16" ht="15" customHeight="1" x14ac:dyDescent="0.35">
      <c r="A789" s="1">
        <v>147</v>
      </c>
      <c r="B789" s="5">
        <v>92.43</v>
      </c>
      <c r="C789" s="5">
        <v>115.65</v>
      </c>
      <c r="D789" s="5">
        <v>148.65</v>
      </c>
      <c r="E789" s="5">
        <v>221.41</v>
      </c>
      <c r="F789" s="5">
        <v>351.37</v>
      </c>
      <c r="G789" s="5">
        <v>401.66</v>
      </c>
      <c r="H789" s="5">
        <v>413.76</v>
      </c>
      <c r="I789" s="5">
        <v>421.85</v>
      </c>
      <c r="J789" s="5">
        <v>421.85</v>
      </c>
      <c r="K789" s="5">
        <v>431.66</v>
      </c>
      <c r="L789" s="5">
        <v>431.66</v>
      </c>
      <c r="M789" s="5">
        <v>187.16</v>
      </c>
      <c r="N789" s="5">
        <v>187.16</v>
      </c>
      <c r="O789" s="5">
        <v>187.16</v>
      </c>
      <c r="P789" s="5">
        <v>187.16</v>
      </c>
    </row>
    <row r="790" spans="1:16" ht="15" customHeight="1" x14ac:dyDescent="0.35">
      <c r="A790" s="1">
        <v>148</v>
      </c>
      <c r="B790" s="5">
        <v>93.06</v>
      </c>
      <c r="C790" s="5">
        <v>116.44</v>
      </c>
      <c r="D790" s="5">
        <v>149.66</v>
      </c>
      <c r="E790" s="5">
        <v>222.92</v>
      </c>
      <c r="F790" s="5">
        <v>353.76</v>
      </c>
      <c r="G790" s="5">
        <v>404.39</v>
      </c>
      <c r="H790" s="5">
        <v>416.57</v>
      </c>
      <c r="I790" s="5">
        <v>424.72</v>
      </c>
      <c r="J790" s="5">
        <v>424.72</v>
      </c>
      <c r="K790" s="5">
        <v>434.59</v>
      </c>
      <c r="L790" s="5">
        <v>434.59</v>
      </c>
      <c r="M790" s="5">
        <v>188.43</v>
      </c>
      <c r="N790" s="5">
        <v>188.43</v>
      </c>
      <c r="O790" s="5">
        <v>188.43</v>
      </c>
      <c r="P790" s="5">
        <v>188.43</v>
      </c>
    </row>
    <row r="791" spans="1:16" ht="15" customHeight="1" x14ac:dyDescent="0.35">
      <c r="A791" s="1">
        <v>149</v>
      </c>
      <c r="B791" s="5">
        <v>93.69</v>
      </c>
      <c r="C791" s="5">
        <v>117.23</v>
      </c>
      <c r="D791" s="5">
        <v>150.66999999999999</v>
      </c>
      <c r="E791" s="5">
        <v>224.42</v>
      </c>
      <c r="F791" s="5">
        <v>356.15</v>
      </c>
      <c r="G791" s="5">
        <v>407.12</v>
      </c>
      <c r="H791" s="5">
        <v>419.39</v>
      </c>
      <c r="I791" s="5">
        <v>427.59</v>
      </c>
      <c r="J791" s="5">
        <v>427.59</v>
      </c>
      <c r="K791" s="5">
        <v>437.53</v>
      </c>
      <c r="L791" s="5">
        <v>437.53</v>
      </c>
      <c r="M791" s="5">
        <v>189.71</v>
      </c>
      <c r="N791" s="5">
        <v>189.71</v>
      </c>
      <c r="O791" s="5">
        <v>189.71</v>
      </c>
      <c r="P791" s="5">
        <v>189.71</v>
      </c>
    </row>
    <row r="792" spans="1:16" ht="15" customHeight="1" x14ac:dyDescent="0.35">
      <c r="A792" s="1">
        <v>150</v>
      </c>
      <c r="B792" s="5">
        <v>94.31</v>
      </c>
      <c r="C792" s="5">
        <v>118.01</v>
      </c>
      <c r="D792" s="5">
        <v>151.68</v>
      </c>
      <c r="E792" s="5">
        <v>225.93</v>
      </c>
      <c r="F792" s="5">
        <v>358.54</v>
      </c>
      <c r="G792" s="5">
        <v>409.85</v>
      </c>
      <c r="H792" s="5">
        <v>422.19</v>
      </c>
      <c r="I792" s="5">
        <v>430.45</v>
      </c>
      <c r="J792" s="5">
        <v>430.45</v>
      </c>
      <c r="K792" s="5">
        <v>440.47</v>
      </c>
      <c r="L792" s="5">
        <v>440.47</v>
      </c>
      <c r="M792" s="5">
        <v>190.98</v>
      </c>
      <c r="N792" s="5">
        <v>190.98</v>
      </c>
      <c r="O792" s="5">
        <v>190.98</v>
      </c>
      <c r="P792" s="5">
        <v>190.98</v>
      </c>
    </row>
    <row r="793" spans="1:16" ht="15" customHeight="1" x14ac:dyDescent="0.3">
      <c r="A793" s="1" t="s">
        <v>35</v>
      </c>
    </row>
    <row r="794" spans="1:16" ht="15" customHeight="1" x14ac:dyDescent="0.3">
      <c r="A794" s="1" t="s">
        <v>0</v>
      </c>
    </row>
    <row r="795" spans="1:16" ht="15" customHeight="1" x14ac:dyDescent="0.3">
      <c r="A795" s="1" t="s">
        <v>0</v>
      </c>
    </row>
    <row r="796" spans="1:16" ht="15" customHeight="1" x14ac:dyDescent="0.3">
      <c r="A796" s="1" t="s">
        <v>45</v>
      </c>
      <c r="B796" s="7" t="s">
        <v>25</v>
      </c>
      <c r="C796" s="7"/>
      <c r="D796" s="7"/>
      <c r="E796" s="7"/>
    </row>
    <row r="797" spans="1:16" ht="15" customHeight="1" x14ac:dyDescent="0.3">
      <c r="A797" s="1" t="s">
        <v>36</v>
      </c>
    </row>
    <row r="798" spans="1:16" ht="15" customHeight="1" x14ac:dyDescent="0.3">
      <c r="A798" s="1" t="s">
        <v>0</v>
      </c>
    </row>
    <row r="799" spans="1:16" ht="15" customHeight="1" x14ac:dyDescent="0.3">
      <c r="A799" s="1" t="s">
        <v>32</v>
      </c>
      <c r="B799" s="1" t="s">
        <v>33</v>
      </c>
    </row>
    <row r="800" spans="1:16" ht="15" customHeight="1" x14ac:dyDescent="0.35">
      <c r="A800" s="1" t="s">
        <v>34</v>
      </c>
      <c r="B800" s="2">
        <v>2</v>
      </c>
      <c r="C800" s="2">
        <v>3</v>
      </c>
      <c r="D800" s="2">
        <v>4</v>
      </c>
      <c r="E800" s="2">
        <v>5</v>
      </c>
      <c r="F800" s="2">
        <v>6</v>
      </c>
      <c r="G800" s="2">
        <v>7</v>
      </c>
      <c r="H800" s="2">
        <v>8</v>
      </c>
      <c r="I800" s="2">
        <v>9</v>
      </c>
      <c r="J800" s="2">
        <v>10</v>
      </c>
      <c r="K800" s="2">
        <v>11</v>
      </c>
      <c r="L800" s="2">
        <v>12</v>
      </c>
      <c r="M800" s="2">
        <v>13</v>
      </c>
      <c r="N800" s="2">
        <v>14</v>
      </c>
      <c r="O800" s="2">
        <v>15</v>
      </c>
      <c r="P800" s="2">
        <v>16</v>
      </c>
    </row>
    <row r="801" spans="1:16" ht="15" customHeight="1" x14ac:dyDescent="0.35">
      <c r="A801" s="1" t="s">
        <v>37</v>
      </c>
      <c r="B801" s="5">
        <v>0.63</v>
      </c>
      <c r="C801" s="5">
        <v>0.79</v>
      </c>
      <c r="D801" s="5">
        <v>1.01</v>
      </c>
      <c r="E801" s="5">
        <v>1.51</v>
      </c>
      <c r="F801" s="5">
        <v>2.39</v>
      </c>
      <c r="G801" s="5">
        <v>2.74</v>
      </c>
      <c r="H801" s="5">
        <v>2.82</v>
      </c>
      <c r="I801" s="5">
        <v>2.87</v>
      </c>
      <c r="J801" s="5">
        <v>2.87</v>
      </c>
      <c r="K801" s="5">
        <v>2.94</v>
      </c>
      <c r="L801" s="5">
        <v>2.94</v>
      </c>
      <c r="M801" s="5">
        <v>1.27</v>
      </c>
      <c r="N801" s="5">
        <v>1.27</v>
      </c>
      <c r="O801" s="5">
        <v>1.27</v>
      </c>
      <c r="P801" s="5">
        <v>1.27</v>
      </c>
    </row>
    <row r="802" spans="1:16" ht="15" customHeight="1" x14ac:dyDescent="0.35">
      <c r="A802" s="1" t="s">
        <v>38</v>
      </c>
      <c r="B802" s="5">
        <v>0.63</v>
      </c>
      <c r="C802" s="5">
        <v>0.79</v>
      </c>
      <c r="D802" s="5">
        <v>1.01</v>
      </c>
      <c r="E802" s="5">
        <v>1.51</v>
      </c>
      <c r="F802" s="5">
        <v>2.39</v>
      </c>
      <c r="G802" s="5">
        <v>2.74</v>
      </c>
      <c r="H802" s="5">
        <v>2.82</v>
      </c>
      <c r="I802" s="5">
        <v>2.87</v>
      </c>
      <c r="J802" s="5">
        <v>2.87</v>
      </c>
      <c r="K802" s="5">
        <v>2.94</v>
      </c>
      <c r="L802" s="5">
        <v>2.94</v>
      </c>
      <c r="M802" s="5">
        <v>1.27</v>
      </c>
      <c r="N802" s="5">
        <v>1.27</v>
      </c>
      <c r="O802" s="5">
        <v>1.27</v>
      </c>
      <c r="P802" s="5">
        <v>1.27</v>
      </c>
    </row>
    <row r="803" spans="1:16" ht="15" customHeight="1" x14ac:dyDescent="0.35">
      <c r="A803" s="1" t="s">
        <v>39</v>
      </c>
      <c r="B803" s="5">
        <v>0.63</v>
      </c>
      <c r="C803" s="5">
        <v>0.79</v>
      </c>
      <c r="D803" s="5">
        <v>1.01</v>
      </c>
      <c r="E803" s="5">
        <v>1.51</v>
      </c>
      <c r="F803" s="5">
        <v>2.39</v>
      </c>
      <c r="G803" s="5">
        <v>2.74</v>
      </c>
      <c r="H803" s="5">
        <v>2.82</v>
      </c>
      <c r="I803" s="5">
        <v>2.87</v>
      </c>
      <c r="J803" s="5">
        <v>2.87</v>
      </c>
      <c r="K803" s="5">
        <v>2.94</v>
      </c>
      <c r="L803" s="5">
        <v>2.94</v>
      </c>
      <c r="M803" s="5">
        <v>1.27</v>
      </c>
      <c r="N803" s="5">
        <v>1.27</v>
      </c>
      <c r="O803" s="5">
        <v>1.27</v>
      </c>
      <c r="P803" s="5">
        <v>1.27</v>
      </c>
    </row>
    <row r="804" spans="1:16" ht="15" customHeight="1" x14ac:dyDescent="0.35">
      <c r="A804" s="1" t="s">
        <v>40</v>
      </c>
      <c r="B804" s="5">
        <v>0.62</v>
      </c>
      <c r="C804" s="5">
        <v>0.78</v>
      </c>
      <c r="D804" s="5">
        <v>1</v>
      </c>
      <c r="E804" s="5">
        <v>1.5</v>
      </c>
      <c r="F804" s="5">
        <v>2.38</v>
      </c>
      <c r="G804" s="5">
        <v>2.73</v>
      </c>
      <c r="H804" s="5">
        <v>2.81</v>
      </c>
      <c r="I804" s="5">
        <v>2.87</v>
      </c>
      <c r="J804" s="5">
        <v>2.87</v>
      </c>
      <c r="K804" s="5">
        <v>2.93</v>
      </c>
      <c r="L804" s="5">
        <v>2.93</v>
      </c>
      <c r="M804" s="5">
        <v>1.28</v>
      </c>
      <c r="N804" s="5">
        <v>1.28</v>
      </c>
      <c r="O804" s="5">
        <v>1.28</v>
      </c>
      <c r="P804" s="5">
        <v>1.28</v>
      </c>
    </row>
    <row r="805" spans="1:16" ht="15" customHeight="1" x14ac:dyDescent="0.35">
      <c r="A805" s="1" t="s">
        <v>41</v>
      </c>
      <c r="B805" s="5">
        <v>0.61</v>
      </c>
      <c r="C805" s="5">
        <v>0.77</v>
      </c>
      <c r="D805" s="5">
        <v>1.01</v>
      </c>
      <c r="E805" s="5">
        <v>1.49</v>
      </c>
      <c r="F805" s="5">
        <v>2.38</v>
      </c>
      <c r="G805" s="5">
        <v>2.72</v>
      </c>
      <c r="H805" s="5">
        <v>2.8</v>
      </c>
      <c r="I805" s="5">
        <v>2.86</v>
      </c>
      <c r="J805" s="5">
        <v>2.86</v>
      </c>
      <c r="K805" s="5">
        <v>2.92</v>
      </c>
      <c r="L805" s="5">
        <v>2.92</v>
      </c>
      <c r="M805" s="5">
        <v>1.27</v>
      </c>
      <c r="N805" s="5">
        <v>1.27</v>
      </c>
      <c r="O805" s="5">
        <v>1.27</v>
      </c>
      <c r="P805" s="5">
        <v>1.27</v>
      </c>
    </row>
    <row r="806" spans="1:16" ht="15" customHeight="1" x14ac:dyDescent="0.35">
      <c r="A806" s="1" t="s">
        <v>42</v>
      </c>
      <c r="B806" s="5">
        <v>0.61</v>
      </c>
      <c r="C806" s="5">
        <v>0.76</v>
      </c>
      <c r="D806" s="5">
        <v>1</v>
      </c>
      <c r="E806" s="5">
        <v>1.49</v>
      </c>
      <c r="F806" s="5">
        <v>2.38</v>
      </c>
      <c r="G806" s="5">
        <v>2.71</v>
      </c>
      <c r="H806" s="5">
        <v>2.8</v>
      </c>
      <c r="I806" s="5">
        <v>2.86</v>
      </c>
      <c r="J806" s="5">
        <v>2.86</v>
      </c>
      <c r="K806" s="5">
        <v>2.92</v>
      </c>
      <c r="L806" s="5">
        <v>2.92</v>
      </c>
      <c r="M806" s="5">
        <v>1.26</v>
      </c>
      <c r="N806" s="5">
        <v>1.26</v>
      </c>
      <c r="O806" s="5">
        <v>1.26</v>
      </c>
      <c r="P806" s="5">
        <v>1.26</v>
      </c>
    </row>
    <row r="808" spans="1:16" ht="15" customHeight="1" x14ac:dyDescent="0.3">
      <c r="A808" s="1" t="s">
        <v>35</v>
      </c>
    </row>
    <row r="811" spans="1:16" ht="15" customHeight="1" x14ac:dyDescent="0.3">
      <c r="A811" s="7" t="s">
        <v>0</v>
      </c>
      <c r="B811" s="7"/>
      <c r="C811" s="7"/>
      <c r="D811" s="7"/>
      <c r="E811" s="7"/>
    </row>
    <row r="812" spans="1:16" ht="15" customHeight="1" x14ac:dyDescent="0.35">
      <c r="A812" s="8" t="s">
        <v>46</v>
      </c>
      <c r="B812" s="8"/>
      <c r="C812" s="8"/>
      <c r="D812" s="8"/>
      <c r="E812" s="8"/>
      <c r="F812" s="8"/>
      <c r="G812" s="8"/>
      <c r="H812" s="7" t="s">
        <v>25</v>
      </c>
      <c r="I812" s="7"/>
      <c r="J812" s="7"/>
      <c r="K812" s="7"/>
    </row>
    <row r="816" spans="1:16" ht="15" customHeight="1" x14ac:dyDescent="0.3">
      <c r="A816" s="1" t="s">
        <v>26</v>
      </c>
    </row>
    <row r="817" spans="1:8" ht="15" customHeight="1" x14ac:dyDescent="0.3">
      <c r="A817" s="1" t="s">
        <v>0</v>
      </c>
    </row>
    <row r="818" spans="1:8" ht="15" customHeight="1" x14ac:dyDescent="0.3">
      <c r="A818" s="1" t="s">
        <v>0</v>
      </c>
    </row>
    <row r="819" spans="1:8" ht="15" customHeight="1" x14ac:dyDescent="0.3">
      <c r="A819" s="1" t="s">
        <v>27</v>
      </c>
      <c r="B819" s="1" t="s">
        <v>28</v>
      </c>
    </row>
    <row r="820" spans="1:8" ht="15" customHeight="1" x14ac:dyDescent="0.35">
      <c r="A820" s="1" t="s">
        <v>29</v>
      </c>
      <c r="B820" s="3">
        <v>0.11</v>
      </c>
    </row>
    <row r="821" spans="1:8" ht="15" customHeight="1" x14ac:dyDescent="0.35">
      <c r="A821" s="1" t="s">
        <v>30</v>
      </c>
      <c r="B821" s="3">
        <v>0.11</v>
      </c>
    </row>
    <row r="822" spans="1:8" ht="15" customHeight="1" x14ac:dyDescent="0.35">
      <c r="A822" s="1" t="s">
        <v>31</v>
      </c>
      <c r="B822" s="3">
        <v>0.11</v>
      </c>
    </row>
    <row r="824" spans="1:8" ht="15" customHeight="1" x14ac:dyDescent="0.35">
      <c r="A824" s="2" t="s">
        <v>32</v>
      </c>
      <c r="B824" s="8" t="s">
        <v>33</v>
      </c>
      <c r="C824" s="8"/>
    </row>
    <row r="825" spans="1:8" ht="15" customHeight="1" x14ac:dyDescent="0.35">
      <c r="A825" s="2" t="s">
        <v>34</v>
      </c>
      <c r="B825" s="2">
        <v>2</v>
      </c>
      <c r="C825" s="2">
        <v>3</v>
      </c>
      <c r="D825" s="2">
        <v>4</v>
      </c>
      <c r="E825" s="2">
        <v>5</v>
      </c>
      <c r="F825" s="2">
        <v>6</v>
      </c>
      <c r="G825" s="2">
        <v>7</v>
      </c>
      <c r="H825" s="2">
        <v>8</v>
      </c>
    </row>
    <row r="826" spans="1:8" ht="15" customHeight="1" x14ac:dyDescent="0.3">
      <c r="A826" s="1" t="s">
        <v>29</v>
      </c>
    </row>
    <row r="827" spans="1:8" ht="15" customHeight="1" x14ac:dyDescent="0.35">
      <c r="A827" s="1" t="s">
        <v>0</v>
      </c>
      <c r="B827" s="4">
        <v>14.08</v>
      </c>
      <c r="C827" s="4">
        <v>14.08</v>
      </c>
      <c r="D827" s="4">
        <v>14.08</v>
      </c>
      <c r="E827" s="4">
        <v>14.08</v>
      </c>
      <c r="F827" s="4">
        <v>14.08</v>
      </c>
      <c r="G827" s="5">
        <v>14.69</v>
      </c>
      <c r="H827" s="5">
        <v>16.32</v>
      </c>
    </row>
    <row r="828" spans="1:8" ht="15" customHeight="1" x14ac:dyDescent="0.3">
      <c r="A828" s="1" t="s">
        <v>31</v>
      </c>
    </row>
    <row r="829" spans="1:8" ht="15" customHeight="1" x14ac:dyDescent="0.35">
      <c r="A829" s="1">
        <v>1</v>
      </c>
      <c r="B829" s="4">
        <v>14.08</v>
      </c>
      <c r="C829" s="4">
        <v>14.08</v>
      </c>
      <c r="D829" s="4">
        <v>14.08</v>
      </c>
      <c r="E829" s="4">
        <v>14.08</v>
      </c>
      <c r="F829" s="4">
        <v>14.08</v>
      </c>
      <c r="G829" s="5">
        <v>14.69</v>
      </c>
      <c r="H829" s="5">
        <v>16.32</v>
      </c>
    </row>
    <row r="830" spans="1:8" ht="15" customHeight="1" x14ac:dyDescent="0.35">
      <c r="A830" s="1">
        <v>2</v>
      </c>
      <c r="B830" s="4">
        <v>14.08</v>
      </c>
      <c r="C830" s="4">
        <v>14.08</v>
      </c>
      <c r="D830" s="4">
        <v>14.08</v>
      </c>
      <c r="E830" s="4">
        <v>14.08</v>
      </c>
      <c r="F830" s="5">
        <v>14.9</v>
      </c>
      <c r="G830" s="5">
        <v>16.37</v>
      </c>
      <c r="H830" s="5">
        <v>18.95</v>
      </c>
    </row>
    <row r="831" spans="1:8" ht="15" customHeight="1" x14ac:dyDescent="0.3">
      <c r="A831" s="1" t="s">
        <v>30</v>
      </c>
    </row>
    <row r="832" spans="1:8" ht="15" customHeight="1" x14ac:dyDescent="0.35">
      <c r="A832" s="1">
        <v>1</v>
      </c>
      <c r="B832" s="4">
        <v>14.08</v>
      </c>
      <c r="C832" s="4">
        <v>14.08</v>
      </c>
      <c r="D832" s="4">
        <v>14.08</v>
      </c>
      <c r="E832" s="4">
        <v>14.08</v>
      </c>
      <c r="F832" s="4">
        <v>14.08</v>
      </c>
      <c r="G832" s="5">
        <v>14.69</v>
      </c>
      <c r="H832" s="5">
        <v>16.32</v>
      </c>
    </row>
    <row r="833" spans="1:8" ht="15" customHeight="1" x14ac:dyDescent="0.35">
      <c r="A833" s="1">
        <v>2</v>
      </c>
      <c r="B833" s="4">
        <v>14.08</v>
      </c>
      <c r="C833" s="4">
        <v>14.08</v>
      </c>
      <c r="D833" s="4">
        <v>14.08</v>
      </c>
      <c r="E833" s="4">
        <v>14.08</v>
      </c>
      <c r="F833" s="5">
        <v>14.9</v>
      </c>
      <c r="G833" s="5">
        <v>16.37</v>
      </c>
      <c r="H833" s="5">
        <v>18.95</v>
      </c>
    </row>
    <row r="834" spans="1:8" ht="15" customHeight="1" x14ac:dyDescent="0.35">
      <c r="A834" s="1">
        <v>3</v>
      </c>
      <c r="B834" s="4">
        <v>14.08</v>
      </c>
      <c r="C834" s="4">
        <v>14.08</v>
      </c>
      <c r="D834" s="4">
        <v>14.08</v>
      </c>
      <c r="E834" s="4">
        <v>14.08</v>
      </c>
      <c r="F834" s="5">
        <v>17.329999999999998</v>
      </c>
      <c r="G834" s="5">
        <v>18.32</v>
      </c>
      <c r="H834" s="5">
        <v>21.4</v>
      </c>
    </row>
    <row r="835" spans="1:8" ht="15" customHeight="1" x14ac:dyDescent="0.35">
      <c r="A835" s="1">
        <v>4</v>
      </c>
      <c r="B835" s="4">
        <v>14.08</v>
      </c>
      <c r="C835" s="4">
        <v>14.08</v>
      </c>
      <c r="D835" s="4">
        <v>14.08</v>
      </c>
      <c r="E835" s="5">
        <v>15.51</v>
      </c>
      <c r="F835" s="5">
        <v>18.23</v>
      </c>
      <c r="G835" s="5">
        <v>20.94</v>
      </c>
      <c r="H835" s="5">
        <v>24.48</v>
      </c>
    </row>
    <row r="836" spans="1:8" ht="15" customHeight="1" x14ac:dyDescent="0.35">
      <c r="A836" s="1">
        <v>5</v>
      </c>
      <c r="B836" s="4">
        <v>14.08</v>
      </c>
      <c r="C836" s="4">
        <v>14.08</v>
      </c>
      <c r="D836" s="4">
        <v>14.08</v>
      </c>
      <c r="E836" s="5">
        <v>16.149999999999999</v>
      </c>
      <c r="F836" s="5">
        <v>20.69</v>
      </c>
      <c r="G836" s="5">
        <v>23.12</v>
      </c>
      <c r="H836" s="5">
        <v>27.46</v>
      </c>
    </row>
    <row r="837" spans="1:8" ht="15" customHeight="1" x14ac:dyDescent="0.35">
      <c r="A837" s="1">
        <v>6</v>
      </c>
      <c r="B837" s="4">
        <v>14.08</v>
      </c>
      <c r="C837" s="4">
        <v>14.08</v>
      </c>
      <c r="D837" s="5">
        <v>14.49</v>
      </c>
      <c r="E837" s="5">
        <v>19.03</v>
      </c>
      <c r="F837" s="5">
        <v>24.31</v>
      </c>
      <c r="G837" s="5">
        <v>25.68</v>
      </c>
      <c r="H837" s="5">
        <v>31.23</v>
      </c>
    </row>
    <row r="838" spans="1:8" ht="15" customHeight="1" x14ac:dyDescent="0.35">
      <c r="A838" s="1">
        <v>7</v>
      </c>
      <c r="B838" s="4">
        <v>14.08</v>
      </c>
      <c r="C838" s="4">
        <v>14.08</v>
      </c>
      <c r="D838" s="5">
        <v>15.65</v>
      </c>
      <c r="E838" s="5">
        <v>19.399999999999999</v>
      </c>
      <c r="F838" s="5">
        <v>25.65</v>
      </c>
      <c r="G838" s="5">
        <v>29.05</v>
      </c>
      <c r="H838" s="5">
        <v>32.53</v>
      </c>
    </row>
    <row r="839" spans="1:8" ht="15" customHeight="1" x14ac:dyDescent="0.35">
      <c r="A839" s="1">
        <v>8</v>
      </c>
      <c r="B839" s="4">
        <v>14.08</v>
      </c>
      <c r="C839" s="5">
        <v>14.38</v>
      </c>
      <c r="D839" s="5">
        <v>16.190000000000001</v>
      </c>
      <c r="E839" s="5">
        <v>20.85</v>
      </c>
      <c r="F839" s="5">
        <v>28.15</v>
      </c>
      <c r="G839" s="5">
        <v>31.8</v>
      </c>
      <c r="H839" s="5">
        <v>35.51</v>
      </c>
    </row>
    <row r="840" spans="1:8" ht="15" customHeight="1" x14ac:dyDescent="0.35">
      <c r="A840" s="1">
        <v>9</v>
      </c>
      <c r="B840" s="4">
        <v>14.08</v>
      </c>
      <c r="C840" s="5">
        <v>14.48</v>
      </c>
      <c r="D840" s="5">
        <v>17.28</v>
      </c>
      <c r="E840" s="5">
        <v>21.7</v>
      </c>
      <c r="F840" s="5">
        <v>29.07</v>
      </c>
      <c r="G840" s="5">
        <v>34.9</v>
      </c>
      <c r="H840" s="5">
        <v>40.340000000000003</v>
      </c>
    </row>
    <row r="841" spans="1:8" ht="15" customHeight="1" x14ac:dyDescent="0.35">
      <c r="A841" s="1">
        <v>10</v>
      </c>
      <c r="B841" s="4">
        <v>14.08</v>
      </c>
      <c r="C841" s="5">
        <v>14.58</v>
      </c>
      <c r="D841" s="5">
        <v>17.73</v>
      </c>
      <c r="E841" s="5">
        <v>23.32</v>
      </c>
      <c r="F841" s="5">
        <v>30.87</v>
      </c>
      <c r="G841" s="5">
        <v>37.549999999999997</v>
      </c>
      <c r="H841" s="5">
        <v>43.49</v>
      </c>
    </row>
    <row r="842" spans="1:8" ht="15" customHeight="1" x14ac:dyDescent="0.35">
      <c r="A842" s="1">
        <v>11</v>
      </c>
      <c r="B842" s="4">
        <v>14.08</v>
      </c>
      <c r="C842" s="5">
        <v>14.55</v>
      </c>
      <c r="D842" s="5">
        <v>18.11</v>
      </c>
      <c r="E842" s="5">
        <v>22.84</v>
      </c>
      <c r="F842" s="5">
        <v>31.72</v>
      </c>
      <c r="G842" s="5">
        <v>37.32</v>
      </c>
      <c r="H842" s="5">
        <v>43.18</v>
      </c>
    </row>
    <row r="843" spans="1:8" ht="15" customHeight="1" x14ac:dyDescent="0.35">
      <c r="A843" s="1">
        <v>12</v>
      </c>
      <c r="B843" s="4">
        <v>14.08</v>
      </c>
      <c r="C843" s="5">
        <v>17.04</v>
      </c>
      <c r="D843" s="5">
        <v>19.77</v>
      </c>
      <c r="E843" s="5">
        <v>26.46</v>
      </c>
      <c r="F843" s="5">
        <v>33.69</v>
      </c>
      <c r="G843" s="5">
        <v>39.68</v>
      </c>
      <c r="H843" s="5">
        <v>45.63</v>
      </c>
    </row>
    <row r="844" spans="1:8" ht="15" customHeight="1" x14ac:dyDescent="0.35">
      <c r="A844" s="1">
        <v>13</v>
      </c>
      <c r="B844" s="5">
        <v>14.99</v>
      </c>
      <c r="C844" s="5">
        <v>17.93</v>
      </c>
      <c r="D844" s="5">
        <v>20.190000000000001</v>
      </c>
      <c r="E844" s="5">
        <v>26.97</v>
      </c>
      <c r="F844" s="5">
        <v>34.44</v>
      </c>
      <c r="G844" s="5">
        <v>39.93</v>
      </c>
      <c r="H844" s="5">
        <v>48.41</v>
      </c>
    </row>
    <row r="845" spans="1:8" ht="15" customHeight="1" x14ac:dyDescent="0.35">
      <c r="A845" s="1">
        <v>14</v>
      </c>
      <c r="B845" s="5">
        <v>15.15</v>
      </c>
      <c r="C845" s="5">
        <v>18.2</v>
      </c>
      <c r="D845" s="5">
        <v>21.91</v>
      </c>
      <c r="E845" s="5">
        <v>28.58</v>
      </c>
      <c r="F845" s="5">
        <v>36.19</v>
      </c>
      <c r="G845" s="5">
        <v>41.97</v>
      </c>
      <c r="H845" s="5">
        <v>50.91</v>
      </c>
    </row>
    <row r="846" spans="1:8" ht="15" customHeight="1" x14ac:dyDescent="0.35">
      <c r="A846" s="1">
        <v>15</v>
      </c>
      <c r="B846" s="5">
        <v>15.26</v>
      </c>
      <c r="C846" s="5">
        <v>19.32</v>
      </c>
      <c r="D846" s="5">
        <v>22.88</v>
      </c>
      <c r="E846" s="5">
        <v>29.82</v>
      </c>
      <c r="F846" s="5">
        <v>38.15</v>
      </c>
      <c r="G846" s="5">
        <v>45.85</v>
      </c>
      <c r="H846" s="5">
        <v>53.78</v>
      </c>
    </row>
    <row r="847" spans="1:8" ht="15" customHeight="1" x14ac:dyDescent="0.35">
      <c r="A847" s="1">
        <v>16</v>
      </c>
      <c r="B847" s="5">
        <v>16.170000000000002</v>
      </c>
      <c r="C847" s="5">
        <v>19.940000000000001</v>
      </c>
      <c r="D847" s="5">
        <v>23.68</v>
      </c>
      <c r="E847" s="5">
        <v>31.96</v>
      </c>
      <c r="F847" s="5">
        <v>39.76</v>
      </c>
      <c r="G847" s="5">
        <v>48.24</v>
      </c>
      <c r="H847" s="5">
        <v>56.17</v>
      </c>
    </row>
    <row r="848" spans="1:8" ht="15" customHeight="1" x14ac:dyDescent="0.35">
      <c r="A848" s="1">
        <v>17</v>
      </c>
      <c r="B848" s="5">
        <v>16.27</v>
      </c>
      <c r="C848" s="5">
        <v>20.56</v>
      </c>
      <c r="D848" s="5">
        <v>24.67</v>
      </c>
      <c r="E848" s="5">
        <v>32.270000000000003</v>
      </c>
      <c r="F848" s="5">
        <v>41.35</v>
      </c>
      <c r="G848" s="5">
        <v>48.48</v>
      </c>
      <c r="H848" s="5">
        <v>58.7</v>
      </c>
    </row>
    <row r="849" spans="1:8" ht="15" customHeight="1" x14ac:dyDescent="0.35">
      <c r="A849" s="1">
        <v>18</v>
      </c>
      <c r="B849" s="5">
        <v>17.739999999999998</v>
      </c>
      <c r="C849" s="5">
        <v>21.22</v>
      </c>
      <c r="D849" s="5">
        <v>25.61</v>
      </c>
      <c r="E849" s="5">
        <v>33.47</v>
      </c>
      <c r="F849" s="5">
        <v>42.83</v>
      </c>
      <c r="G849" s="5">
        <v>52.97</v>
      </c>
      <c r="H849" s="5">
        <v>60.69</v>
      </c>
    </row>
    <row r="850" spans="1:8" ht="15" customHeight="1" x14ac:dyDescent="0.35">
      <c r="A850" s="1">
        <v>19</v>
      </c>
      <c r="B850" s="5">
        <v>18.2</v>
      </c>
      <c r="C850" s="5">
        <v>21.82</v>
      </c>
      <c r="D850" s="5">
        <v>26.5</v>
      </c>
      <c r="E850" s="5">
        <v>34.700000000000003</v>
      </c>
      <c r="F850" s="5">
        <v>44.28</v>
      </c>
      <c r="G850" s="5">
        <v>54.4</v>
      </c>
      <c r="H850" s="5">
        <v>62.9</v>
      </c>
    </row>
    <row r="851" spans="1:8" ht="15" customHeight="1" x14ac:dyDescent="0.35">
      <c r="A851" s="1">
        <v>20</v>
      </c>
      <c r="B851" s="5">
        <v>18.3</v>
      </c>
      <c r="C851" s="5">
        <v>22.11</v>
      </c>
      <c r="D851" s="5">
        <v>27.01</v>
      </c>
      <c r="E851" s="5">
        <v>36.14</v>
      </c>
      <c r="F851" s="5">
        <v>45.93</v>
      </c>
      <c r="G851" s="5">
        <v>54.59</v>
      </c>
      <c r="H851" s="5">
        <v>65.58</v>
      </c>
    </row>
    <row r="852" spans="1:8" ht="15" customHeight="1" x14ac:dyDescent="0.35">
      <c r="A852" s="1">
        <v>21</v>
      </c>
      <c r="B852" s="5">
        <v>16.350000000000001</v>
      </c>
      <c r="C852" s="5">
        <v>19.82</v>
      </c>
      <c r="D852" s="5">
        <v>24.23</v>
      </c>
      <c r="E852" s="5">
        <v>31.5</v>
      </c>
      <c r="F852" s="5">
        <v>41.77</v>
      </c>
      <c r="G852" s="5">
        <v>50.51</v>
      </c>
      <c r="H852" s="5">
        <v>58.79</v>
      </c>
    </row>
    <row r="853" spans="1:8" ht="15" customHeight="1" x14ac:dyDescent="0.35">
      <c r="A853" s="1">
        <v>22</v>
      </c>
      <c r="B853" s="5">
        <v>17.52</v>
      </c>
      <c r="C853" s="5">
        <v>21.05</v>
      </c>
      <c r="D853" s="5">
        <v>25.28</v>
      </c>
      <c r="E853" s="5">
        <v>33.479999999999997</v>
      </c>
      <c r="F853" s="5">
        <v>43.23</v>
      </c>
      <c r="G853" s="5">
        <v>50.83</v>
      </c>
      <c r="H853" s="5">
        <v>60.99</v>
      </c>
    </row>
    <row r="854" spans="1:8" ht="15" customHeight="1" x14ac:dyDescent="0.35">
      <c r="A854" s="1">
        <v>23</v>
      </c>
      <c r="B854" s="5">
        <v>18.190000000000001</v>
      </c>
      <c r="C854" s="5">
        <v>21.52</v>
      </c>
      <c r="D854" s="5">
        <v>26.96</v>
      </c>
      <c r="E854" s="5">
        <v>34.46</v>
      </c>
      <c r="F854" s="5">
        <v>45.01</v>
      </c>
      <c r="G854" s="5">
        <v>55.03</v>
      </c>
      <c r="H854" s="5">
        <v>61.54</v>
      </c>
    </row>
    <row r="855" spans="1:8" ht="15" customHeight="1" x14ac:dyDescent="0.35">
      <c r="A855" s="1">
        <v>24</v>
      </c>
      <c r="B855" s="5">
        <v>18.27</v>
      </c>
      <c r="C855" s="5">
        <v>22.88</v>
      </c>
      <c r="D855" s="5">
        <v>27.64</v>
      </c>
      <c r="E855" s="5">
        <v>35.75</v>
      </c>
      <c r="F855" s="5">
        <v>46.49</v>
      </c>
      <c r="G855" s="5">
        <v>55.46</v>
      </c>
      <c r="H855" s="5">
        <v>61.83</v>
      </c>
    </row>
    <row r="856" spans="1:8" ht="15" customHeight="1" x14ac:dyDescent="0.35">
      <c r="A856" s="1">
        <v>25</v>
      </c>
      <c r="B856" s="5">
        <v>18.36</v>
      </c>
      <c r="C856" s="5">
        <v>23.02</v>
      </c>
      <c r="D856" s="5">
        <v>28.56</v>
      </c>
      <c r="E856" s="5">
        <v>36.979999999999997</v>
      </c>
      <c r="F856" s="5">
        <v>47.81</v>
      </c>
      <c r="G856" s="5">
        <v>58.86</v>
      </c>
      <c r="H856" s="5">
        <v>67.31</v>
      </c>
    </row>
    <row r="857" spans="1:8" ht="15" customHeight="1" x14ac:dyDescent="0.35">
      <c r="A857" s="1">
        <v>26</v>
      </c>
      <c r="B857" s="5">
        <v>20.079999999999998</v>
      </c>
      <c r="C857" s="5">
        <v>24.17</v>
      </c>
      <c r="D857" s="5">
        <v>29.5</v>
      </c>
      <c r="E857" s="5">
        <v>38.19</v>
      </c>
      <c r="F857" s="5">
        <v>49.29</v>
      </c>
      <c r="G857" s="5">
        <v>60.89</v>
      </c>
      <c r="H857" s="5">
        <v>69.36</v>
      </c>
    </row>
    <row r="858" spans="1:8" ht="15" customHeight="1" x14ac:dyDescent="0.35">
      <c r="A858" s="1">
        <v>27</v>
      </c>
      <c r="B858" s="5">
        <v>20.73</v>
      </c>
      <c r="C858" s="5">
        <v>24.88</v>
      </c>
      <c r="D858" s="5">
        <v>30.61</v>
      </c>
      <c r="E858" s="5">
        <v>40.24</v>
      </c>
      <c r="F858" s="5">
        <v>50.59</v>
      </c>
      <c r="G858" s="5">
        <v>63.02</v>
      </c>
      <c r="H858" s="5">
        <v>71.510000000000005</v>
      </c>
    </row>
    <row r="859" spans="1:8" ht="15" customHeight="1" x14ac:dyDescent="0.35">
      <c r="A859" s="1">
        <v>28</v>
      </c>
      <c r="B859" s="5">
        <v>21.35</v>
      </c>
      <c r="C859" s="5">
        <v>24.98</v>
      </c>
      <c r="D859" s="5">
        <v>31.38</v>
      </c>
      <c r="E859" s="5">
        <v>40.46</v>
      </c>
      <c r="F859" s="5">
        <v>55.15</v>
      </c>
      <c r="G859" s="5">
        <v>64.95</v>
      </c>
      <c r="H859" s="5">
        <v>73.81</v>
      </c>
    </row>
    <row r="860" spans="1:8" ht="15" customHeight="1" x14ac:dyDescent="0.35">
      <c r="A860" s="1">
        <v>29</v>
      </c>
      <c r="B860" s="5">
        <v>21.45</v>
      </c>
      <c r="C860" s="5">
        <v>25.59</v>
      </c>
      <c r="D860" s="5">
        <v>32.28</v>
      </c>
      <c r="E860" s="5">
        <v>41.51</v>
      </c>
      <c r="F860" s="5">
        <v>56.78</v>
      </c>
      <c r="G860" s="5">
        <v>66.87</v>
      </c>
      <c r="H860" s="5">
        <v>76.12</v>
      </c>
    </row>
    <row r="861" spans="1:8" ht="15" customHeight="1" x14ac:dyDescent="0.35">
      <c r="A861" s="1">
        <v>30</v>
      </c>
      <c r="B861" s="5">
        <v>21.52</v>
      </c>
      <c r="C861" s="5">
        <v>26.29</v>
      </c>
      <c r="D861" s="5">
        <v>32.369999999999997</v>
      </c>
      <c r="E861" s="5">
        <v>42.8</v>
      </c>
      <c r="F861" s="5">
        <v>58.58</v>
      </c>
      <c r="G861" s="5">
        <v>67.08</v>
      </c>
      <c r="H861" s="5">
        <v>78.290000000000006</v>
      </c>
    </row>
    <row r="862" spans="1:8" ht="15" customHeight="1" x14ac:dyDescent="0.35">
      <c r="A862" s="1">
        <v>31</v>
      </c>
      <c r="B862" s="5">
        <v>22.22</v>
      </c>
      <c r="C862" s="5">
        <v>27.78</v>
      </c>
      <c r="D862" s="5">
        <v>33.32</v>
      </c>
      <c r="E862" s="5">
        <v>44.75</v>
      </c>
      <c r="F862" s="5">
        <v>61.57</v>
      </c>
      <c r="G862" s="5">
        <v>68.83</v>
      </c>
      <c r="H862" s="5">
        <v>80.42</v>
      </c>
    </row>
    <row r="863" spans="1:8" ht="15" customHeight="1" x14ac:dyDescent="0.35">
      <c r="A863" s="1">
        <v>32</v>
      </c>
      <c r="B863" s="5">
        <v>22.31</v>
      </c>
      <c r="C863" s="5">
        <v>27.96</v>
      </c>
      <c r="D863" s="5">
        <v>34.26</v>
      </c>
      <c r="E863" s="5">
        <v>44.94</v>
      </c>
      <c r="F863" s="5">
        <v>61.87</v>
      </c>
      <c r="G863" s="5">
        <v>69.33</v>
      </c>
      <c r="H863" s="5">
        <v>80.7</v>
      </c>
    </row>
    <row r="864" spans="1:8" ht="15" customHeight="1" x14ac:dyDescent="0.35">
      <c r="A864" s="1">
        <v>33</v>
      </c>
      <c r="B864" s="5">
        <v>23.57</v>
      </c>
      <c r="C864" s="5">
        <v>28.56</v>
      </c>
      <c r="D864" s="5">
        <v>35.659999999999997</v>
      </c>
      <c r="E864" s="5">
        <v>46.17</v>
      </c>
      <c r="F864" s="5">
        <v>63.67</v>
      </c>
      <c r="G864" s="5">
        <v>71.12</v>
      </c>
      <c r="H864" s="5">
        <v>81.010000000000005</v>
      </c>
    </row>
    <row r="865" spans="1:8" ht="15" customHeight="1" x14ac:dyDescent="0.35">
      <c r="A865" s="1">
        <v>34</v>
      </c>
      <c r="B865" s="5">
        <v>24.04</v>
      </c>
      <c r="C865" s="5">
        <v>28.64</v>
      </c>
      <c r="D865" s="5">
        <v>35.81</v>
      </c>
      <c r="E865" s="5">
        <v>47.3</v>
      </c>
      <c r="F865" s="5">
        <v>64.72</v>
      </c>
      <c r="G865" s="5">
        <v>72.8</v>
      </c>
      <c r="H865" s="5">
        <v>87.17</v>
      </c>
    </row>
    <row r="866" spans="1:8" ht="15" customHeight="1" x14ac:dyDescent="0.35">
      <c r="A866" s="1">
        <v>35</v>
      </c>
      <c r="B866" s="5">
        <v>24.5</v>
      </c>
      <c r="C866" s="5">
        <v>29.91</v>
      </c>
      <c r="D866" s="5">
        <v>36.840000000000003</v>
      </c>
      <c r="E866" s="5">
        <v>48.48</v>
      </c>
      <c r="F866" s="5">
        <v>64.83</v>
      </c>
      <c r="G866" s="5">
        <v>74.63</v>
      </c>
      <c r="H866" s="5">
        <v>87.78</v>
      </c>
    </row>
    <row r="867" spans="1:8" ht="15" customHeight="1" x14ac:dyDescent="0.35">
      <c r="A867" s="1">
        <v>36</v>
      </c>
      <c r="B867" s="5">
        <v>25.21</v>
      </c>
      <c r="C867" s="5">
        <v>30.57</v>
      </c>
      <c r="D867" s="5">
        <v>38.22</v>
      </c>
      <c r="E867" s="5">
        <v>48.65</v>
      </c>
      <c r="F867" s="5">
        <v>65.08</v>
      </c>
      <c r="G867" s="5">
        <v>76.16</v>
      </c>
      <c r="H867" s="5">
        <v>91.62</v>
      </c>
    </row>
    <row r="868" spans="1:8" ht="15" customHeight="1" x14ac:dyDescent="0.35">
      <c r="A868" s="1">
        <v>37</v>
      </c>
      <c r="B868" s="5">
        <v>25.34</v>
      </c>
      <c r="C868" s="5">
        <v>30.79</v>
      </c>
      <c r="D868" s="5">
        <v>38.36</v>
      </c>
      <c r="E868" s="5">
        <v>50.72</v>
      </c>
      <c r="F868" s="5">
        <v>69.959999999999994</v>
      </c>
      <c r="G868" s="5">
        <v>77.69</v>
      </c>
      <c r="H868" s="5">
        <v>92</v>
      </c>
    </row>
    <row r="869" spans="1:8" ht="15" customHeight="1" x14ac:dyDescent="0.35">
      <c r="A869" s="1">
        <v>38</v>
      </c>
      <c r="B869" s="5">
        <v>25.54</v>
      </c>
      <c r="C869" s="5">
        <v>30.93</v>
      </c>
      <c r="D869" s="5">
        <v>39.46</v>
      </c>
      <c r="E869" s="5">
        <v>51.92</v>
      </c>
      <c r="F869" s="5">
        <v>71.44</v>
      </c>
      <c r="G869" s="5">
        <v>79.25</v>
      </c>
      <c r="H869" s="5">
        <v>92.18</v>
      </c>
    </row>
    <row r="870" spans="1:8" ht="15" customHeight="1" x14ac:dyDescent="0.35">
      <c r="A870" s="1">
        <v>39</v>
      </c>
      <c r="B870" s="5">
        <v>25.62</v>
      </c>
      <c r="C870" s="5">
        <v>31.07</v>
      </c>
      <c r="D870" s="5">
        <v>40.19</v>
      </c>
      <c r="E870" s="5">
        <v>53.06</v>
      </c>
      <c r="F870" s="5">
        <v>73.12</v>
      </c>
      <c r="G870" s="5">
        <v>83.4</v>
      </c>
      <c r="H870" s="5">
        <v>95.66</v>
      </c>
    </row>
    <row r="871" spans="1:8" ht="15" customHeight="1" x14ac:dyDescent="0.35">
      <c r="A871" s="1">
        <v>40</v>
      </c>
      <c r="B871" s="5">
        <v>25.77</v>
      </c>
      <c r="C871" s="5">
        <v>31.21</v>
      </c>
      <c r="D871" s="5">
        <v>40.270000000000003</v>
      </c>
      <c r="E871" s="5">
        <v>53.54</v>
      </c>
      <c r="F871" s="5">
        <v>73.31</v>
      </c>
      <c r="G871" s="5">
        <v>83.82</v>
      </c>
      <c r="H871" s="5">
        <v>99.11</v>
      </c>
    </row>
    <row r="872" spans="1:8" ht="15" customHeight="1" x14ac:dyDescent="0.35">
      <c r="A872" s="1">
        <v>41</v>
      </c>
      <c r="B872" s="5">
        <v>28.74</v>
      </c>
      <c r="C872" s="5">
        <v>33.979999999999997</v>
      </c>
      <c r="D872" s="5">
        <v>41.72</v>
      </c>
      <c r="E872" s="5">
        <v>55.45</v>
      </c>
      <c r="F872" s="5">
        <v>76.06</v>
      </c>
      <c r="G872" s="5">
        <v>83.92</v>
      </c>
      <c r="H872" s="5">
        <v>101.22</v>
      </c>
    </row>
    <row r="873" spans="1:8" ht="15" customHeight="1" x14ac:dyDescent="0.35">
      <c r="A873" s="1">
        <v>42</v>
      </c>
      <c r="B873" s="5">
        <v>29.27</v>
      </c>
      <c r="C873" s="5">
        <v>34.81</v>
      </c>
      <c r="D873" s="5">
        <v>42.66</v>
      </c>
      <c r="E873" s="5">
        <v>56.88</v>
      </c>
      <c r="F873" s="5">
        <v>77.69</v>
      </c>
      <c r="G873" s="5">
        <v>85.68</v>
      </c>
      <c r="H873" s="5">
        <v>103.41</v>
      </c>
    </row>
    <row r="874" spans="1:8" ht="15" customHeight="1" x14ac:dyDescent="0.35">
      <c r="A874" s="1">
        <v>43</v>
      </c>
      <c r="B874" s="5">
        <v>29.84</v>
      </c>
      <c r="C874" s="5">
        <v>35.81</v>
      </c>
      <c r="D874" s="5">
        <v>43.46</v>
      </c>
      <c r="E874" s="5">
        <v>57.93</v>
      </c>
      <c r="F874" s="5">
        <v>79.260000000000005</v>
      </c>
      <c r="G874" s="5">
        <v>87.59</v>
      </c>
      <c r="H874" s="5">
        <v>105.82</v>
      </c>
    </row>
    <row r="875" spans="1:8" ht="15" customHeight="1" x14ac:dyDescent="0.35">
      <c r="A875" s="1">
        <v>44</v>
      </c>
      <c r="B875" s="5">
        <v>30.06</v>
      </c>
      <c r="C875" s="5">
        <v>35.92</v>
      </c>
      <c r="D875" s="5">
        <v>44.42</v>
      </c>
      <c r="E875" s="5">
        <v>59.12</v>
      </c>
      <c r="F875" s="5">
        <v>80.69</v>
      </c>
      <c r="G875" s="5">
        <v>89.46</v>
      </c>
      <c r="H875" s="5">
        <v>106.07</v>
      </c>
    </row>
    <row r="876" spans="1:8" ht="15" customHeight="1" x14ac:dyDescent="0.35">
      <c r="A876" s="1">
        <v>45</v>
      </c>
      <c r="B876" s="5">
        <v>30.15</v>
      </c>
      <c r="C876" s="5">
        <v>36</v>
      </c>
      <c r="D876" s="5">
        <v>44.57</v>
      </c>
      <c r="E876" s="5">
        <v>60.42</v>
      </c>
      <c r="F876" s="5">
        <v>80.84</v>
      </c>
      <c r="G876" s="5">
        <v>91.32</v>
      </c>
      <c r="H876" s="5">
        <v>106.4</v>
      </c>
    </row>
    <row r="877" spans="1:8" ht="15" customHeight="1" x14ac:dyDescent="0.35">
      <c r="A877" s="1">
        <v>46</v>
      </c>
      <c r="B877" s="5">
        <v>30.23</v>
      </c>
      <c r="C877" s="5">
        <v>36.090000000000003</v>
      </c>
      <c r="D877" s="5">
        <v>47.23</v>
      </c>
      <c r="E877" s="5">
        <v>62.58</v>
      </c>
      <c r="F877" s="5">
        <v>83.01</v>
      </c>
      <c r="G877" s="5">
        <v>94.69</v>
      </c>
      <c r="H877" s="5">
        <v>112.92</v>
      </c>
    </row>
    <row r="878" spans="1:8" ht="15" customHeight="1" x14ac:dyDescent="0.35">
      <c r="A878" s="1">
        <v>47</v>
      </c>
      <c r="B878" s="5">
        <v>30.31</v>
      </c>
      <c r="C878" s="5">
        <v>36.17</v>
      </c>
      <c r="D878" s="5">
        <v>47.5</v>
      </c>
      <c r="E878" s="5">
        <v>62.8</v>
      </c>
      <c r="F878" s="5">
        <v>83.22</v>
      </c>
      <c r="G878" s="5">
        <v>95.04</v>
      </c>
      <c r="H878" s="5">
        <v>113.58</v>
      </c>
    </row>
    <row r="879" spans="1:8" ht="15" customHeight="1" x14ac:dyDescent="0.35">
      <c r="A879" s="1">
        <v>48</v>
      </c>
      <c r="B879" s="5">
        <v>30.4</v>
      </c>
      <c r="C879" s="5">
        <v>36.26</v>
      </c>
      <c r="D879" s="5">
        <v>47.59</v>
      </c>
      <c r="E879" s="5">
        <v>64.88</v>
      </c>
      <c r="F879" s="5">
        <v>83.34</v>
      </c>
      <c r="G879" s="5">
        <v>101.62</v>
      </c>
      <c r="H879" s="5">
        <v>116.79</v>
      </c>
    </row>
    <row r="880" spans="1:8" ht="15" customHeight="1" x14ac:dyDescent="0.35">
      <c r="A880" s="1">
        <v>49</v>
      </c>
      <c r="B880" s="5">
        <v>30.49</v>
      </c>
      <c r="C880" s="5">
        <v>36.33</v>
      </c>
      <c r="D880" s="5">
        <v>47.66</v>
      </c>
      <c r="E880" s="5">
        <v>65.09</v>
      </c>
      <c r="F880" s="5">
        <v>83.42</v>
      </c>
      <c r="G880" s="5">
        <v>102.62</v>
      </c>
      <c r="H880" s="5">
        <v>117.12</v>
      </c>
    </row>
    <row r="881" spans="1:8" ht="15" customHeight="1" x14ac:dyDescent="0.35">
      <c r="A881" s="1">
        <v>50</v>
      </c>
      <c r="B881" s="5">
        <v>30.62</v>
      </c>
      <c r="C881" s="5">
        <v>36.5</v>
      </c>
      <c r="D881" s="5">
        <v>47.82</v>
      </c>
      <c r="E881" s="5">
        <v>65.209999999999994</v>
      </c>
      <c r="F881" s="5">
        <v>83.57</v>
      </c>
      <c r="G881" s="5">
        <v>102.82</v>
      </c>
      <c r="H881" s="5">
        <v>117.61</v>
      </c>
    </row>
    <row r="882" spans="1:8" ht="15" customHeight="1" x14ac:dyDescent="0.35">
      <c r="A882" s="1">
        <v>51</v>
      </c>
      <c r="B882" s="5">
        <v>33.06</v>
      </c>
      <c r="C882" s="5">
        <v>39.880000000000003</v>
      </c>
      <c r="D882" s="5">
        <v>51.04</v>
      </c>
      <c r="E882" s="5">
        <v>67.650000000000006</v>
      </c>
      <c r="F882" s="5">
        <v>86.8</v>
      </c>
      <c r="G882" s="5">
        <v>104.04</v>
      </c>
      <c r="H882" s="5">
        <v>127.55</v>
      </c>
    </row>
    <row r="883" spans="1:8" ht="15" customHeight="1" x14ac:dyDescent="0.35">
      <c r="A883" s="1">
        <v>52</v>
      </c>
      <c r="B883" s="5">
        <v>33.82</v>
      </c>
      <c r="C883" s="5">
        <v>40.44</v>
      </c>
      <c r="D883" s="5">
        <v>51.36</v>
      </c>
      <c r="E883" s="5">
        <v>67.89</v>
      </c>
      <c r="F883" s="5">
        <v>97.11</v>
      </c>
      <c r="G883" s="5">
        <v>104.22</v>
      </c>
      <c r="H883" s="5">
        <v>128.55000000000001</v>
      </c>
    </row>
    <row r="884" spans="1:8" ht="15" customHeight="1" x14ac:dyDescent="0.35">
      <c r="A884" s="1">
        <v>53</v>
      </c>
      <c r="B884" s="5">
        <v>35.119999999999997</v>
      </c>
      <c r="C884" s="5">
        <v>43.05</v>
      </c>
      <c r="D884" s="5">
        <v>52.12</v>
      </c>
      <c r="E884" s="5">
        <v>71.67</v>
      </c>
      <c r="F884" s="5">
        <v>98.15</v>
      </c>
      <c r="G884" s="5">
        <v>104.44</v>
      </c>
      <c r="H884" s="5">
        <v>131.82</v>
      </c>
    </row>
    <row r="885" spans="1:8" ht="15" customHeight="1" x14ac:dyDescent="0.35">
      <c r="A885" s="1">
        <v>54</v>
      </c>
      <c r="B885" s="5">
        <v>35.32</v>
      </c>
      <c r="C885" s="5">
        <v>43.32</v>
      </c>
      <c r="D885" s="5">
        <v>52.3</v>
      </c>
      <c r="E885" s="5">
        <v>72.989999999999995</v>
      </c>
      <c r="F885" s="5">
        <v>98.37</v>
      </c>
      <c r="G885" s="5">
        <v>108.75</v>
      </c>
      <c r="H885" s="5">
        <v>132.15</v>
      </c>
    </row>
    <row r="886" spans="1:8" ht="15" customHeight="1" x14ac:dyDescent="0.35">
      <c r="A886" s="1">
        <v>55</v>
      </c>
      <c r="B886" s="5">
        <v>35.49</v>
      </c>
      <c r="C886" s="5">
        <v>43.49</v>
      </c>
      <c r="D886" s="5">
        <v>53.95</v>
      </c>
      <c r="E886" s="5">
        <v>74.069999999999993</v>
      </c>
      <c r="F886" s="5">
        <v>98.63</v>
      </c>
      <c r="G886" s="5">
        <v>109.19</v>
      </c>
      <c r="H886" s="5">
        <v>132.33000000000001</v>
      </c>
    </row>
    <row r="887" spans="1:8" ht="15" customHeight="1" x14ac:dyDescent="0.35">
      <c r="A887" s="1">
        <v>56</v>
      </c>
      <c r="B887" s="5">
        <v>35.659999999999997</v>
      </c>
      <c r="C887" s="5">
        <v>43.66</v>
      </c>
      <c r="D887" s="5">
        <v>54.14</v>
      </c>
      <c r="E887" s="5">
        <v>75.41</v>
      </c>
      <c r="F887" s="5">
        <v>103.54</v>
      </c>
      <c r="G887" s="5">
        <v>109.7</v>
      </c>
      <c r="H887" s="5">
        <v>132.53</v>
      </c>
    </row>
    <row r="888" spans="1:8" ht="15" customHeight="1" x14ac:dyDescent="0.35">
      <c r="A888" s="1">
        <v>57</v>
      </c>
      <c r="B888" s="5">
        <v>35.83</v>
      </c>
      <c r="C888" s="5">
        <v>43.83</v>
      </c>
      <c r="D888" s="5">
        <v>55.5</v>
      </c>
      <c r="E888" s="5">
        <v>76.569999999999993</v>
      </c>
      <c r="F888" s="5">
        <v>104.04</v>
      </c>
      <c r="G888" s="5">
        <v>119.9</v>
      </c>
      <c r="H888" s="5">
        <v>135.16999999999999</v>
      </c>
    </row>
    <row r="889" spans="1:8" ht="15" customHeight="1" x14ac:dyDescent="0.35">
      <c r="A889" s="1">
        <v>58</v>
      </c>
      <c r="B889" s="5">
        <v>36.01</v>
      </c>
      <c r="C889" s="5">
        <v>44</v>
      </c>
      <c r="D889" s="5">
        <v>55.69</v>
      </c>
      <c r="E889" s="5">
        <v>77.77</v>
      </c>
      <c r="F889" s="5">
        <v>107.31</v>
      </c>
      <c r="G889" s="5">
        <v>120.93</v>
      </c>
      <c r="H889" s="5">
        <v>137.38</v>
      </c>
    </row>
    <row r="890" spans="1:8" ht="15" customHeight="1" x14ac:dyDescent="0.35">
      <c r="A890" s="1">
        <v>59</v>
      </c>
      <c r="B890" s="5">
        <v>36.17</v>
      </c>
      <c r="C890" s="5">
        <v>44.19</v>
      </c>
      <c r="D890" s="5">
        <v>55.87</v>
      </c>
      <c r="E890" s="5">
        <v>78.760000000000005</v>
      </c>
      <c r="F890" s="5">
        <v>107.64</v>
      </c>
      <c r="G890" s="5">
        <v>122.83</v>
      </c>
      <c r="H890" s="5">
        <v>139.91</v>
      </c>
    </row>
    <row r="891" spans="1:8" ht="15" customHeight="1" x14ac:dyDescent="0.35">
      <c r="A891" s="1">
        <v>60</v>
      </c>
      <c r="B891" s="5">
        <v>36.82</v>
      </c>
      <c r="C891" s="5">
        <v>45.63</v>
      </c>
      <c r="D891" s="5">
        <v>56.06</v>
      </c>
      <c r="E891" s="5">
        <v>78.959999999999994</v>
      </c>
      <c r="F891" s="5">
        <v>107.94</v>
      </c>
      <c r="G891" s="5">
        <v>123.05</v>
      </c>
      <c r="H891" s="5">
        <v>142.44999999999999</v>
      </c>
    </row>
    <row r="892" spans="1:8" ht="15" customHeight="1" x14ac:dyDescent="0.35">
      <c r="A892" s="1">
        <v>61</v>
      </c>
      <c r="B892" s="5">
        <v>37.78</v>
      </c>
      <c r="C892" s="5">
        <v>46.9</v>
      </c>
      <c r="D892" s="5">
        <v>59.03</v>
      </c>
      <c r="E892" s="5">
        <v>81.63</v>
      </c>
      <c r="F892" s="5">
        <v>108.2</v>
      </c>
      <c r="G892" s="5">
        <v>127.04</v>
      </c>
      <c r="H892" s="5">
        <v>144.72999999999999</v>
      </c>
    </row>
    <row r="893" spans="1:8" ht="15" customHeight="1" x14ac:dyDescent="0.35">
      <c r="A893" s="1">
        <v>62</v>
      </c>
      <c r="B893" s="5">
        <v>38.39</v>
      </c>
      <c r="C893" s="5">
        <v>47.08</v>
      </c>
      <c r="D893" s="5">
        <v>59.96</v>
      </c>
      <c r="E893" s="5">
        <v>82.76</v>
      </c>
      <c r="F893" s="5">
        <v>113.59</v>
      </c>
      <c r="G893" s="5">
        <v>129.22</v>
      </c>
      <c r="H893" s="5">
        <v>144.97</v>
      </c>
    </row>
    <row r="894" spans="1:8" ht="15" customHeight="1" x14ac:dyDescent="0.35">
      <c r="A894" s="1">
        <v>63</v>
      </c>
      <c r="B894" s="5">
        <v>38.82</v>
      </c>
      <c r="C894" s="5">
        <v>47.25</v>
      </c>
      <c r="D894" s="5">
        <v>60.16</v>
      </c>
      <c r="E894" s="5">
        <v>84.05</v>
      </c>
      <c r="F894" s="5">
        <v>117.15</v>
      </c>
      <c r="G894" s="5">
        <v>131.30000000000001</v>
      </c>
      <c r="H894" s="5">
        <v>149.52000000000001</v>
      </c>
    </row>
    <row r="895" spans="1:8" ht="15" customHeight="1" x14ac:dyDescent="0.35">
      <c r="A895" s="1">
        <v>64</v>
      </c>
      <c r="B895" s="5">
        <v>39.76</v>
      </c>
      <c r="C895" s="5">
        <v>48.17</v>
      </c>
      <c r="D895" s="5">
        <v>60.35</v>
      </c>
      <c r="E895" s="5">
        <v>85.17</v>
      </c>
      <c r="F895" s="5">
        <v>118.98</v>
      </c>
      <c r="G895" s="5">
        <v>133.37</v>
      </c>
      <c r="H895" s="5">
        <v>151.9</v>
      </c>
    </row>
    <row r="896" spans="1:8" ht="15" customHeight="1" x14ac:dyDescent="0.35">
      <c r="A896" s="1">
        <v>65</v>
      </c>
      <c r="B896" s="5">
        <v>39.93</v>
      </c>
      <c r="C896" s="5">
        <v>49.46</v>
      </c>
      <c r="D896" s="5">
        <v>61.85</v>
      </c>
      <c r="E896" s="5">
        <v>86.06</v>
      </c>
      <c r="F896" s="5">
        <v>119.19</v>
      </c>
      <c r="G896" s="5">
        <v>135.43</v>
      </c>
      <c r="H896" s="5">
        <v>155.52000000000001</v>
      </c>
    </row>
    <row r="897" spans="1:8" ht="15" customHeight="1" x14ac:dyDescent="0.35">
      <c r="A897" s="1">
        <v>66</v>
      </c>
      <c r="B897" s="5">
        <v>40.1</v>
      </c>
      <c r="C897" s="5">
        <v>49.63</v>
      </c>
      <c r="D897" s="5">
        <v>62.53</v>
      </c>
      <c r="E897" s="5">
        <v>86.27</v>
      </c>
      <c r="F897" s="5">
        <v>120.01</v>
      </c>
      <c r="G897" s="5">
        <v>137.28</v>
      </c>
      <c r="H897" s="5">
        <v>158.81</v>
      </c>
    </row>
    <row r="898" spans="1:8" ht="15" customHeight="1" x14ac:dyDescent="0.35">
      <c r="A898" s="1">
        <v>67</v>
      </c>
      <c r="B898" s="5">
        <v>40.270000000000003</v>
      </c>
      <c r="C898" s="5">
        <v>50.63</v>
      </c>
      <c r="D898" s="5">
        <v>62.69</v>
      </c>
      <c r="E898" s="5">
        <v>86.47</v>
      </c>
      <c r="F898" s="5">
        <v>120.22</v>
      </c>
      <c r="G898" s="5">
        <v>137.5</v>
      </c>
      <c r="H898" s="5">
        <v>159.13999999999999</v>
      </c>
    </row>
    <row r="899" spans="1:8" ht="15" customHeight="1" x14ac:dyDescent="0.35">
      <c r="A899" s="1">
        <v>68</v>
      </c>
      <c r="B899" s="5">
        <v>40.44</v>
      </c>
      <c r="C899" s="5">
        <v>51.03</v>
      </c>
      <c r="D899" s="5">
        <v>64.44</v>
      </c>
      <c r="E899" s="5">
        <v>89.79</v>
      </c>
      <c r="F899" s="5">
        <v>120.43</v>
      </c>
      <c r="G899" s="5">
        <v>137.69999999999999</v>
      </c>
      <c r="H899" s="5">
        <v>165.75</v>
      </c>
    </row>
    <row r="900" spans="1:8" ht="15" customHeight="1" x14ac:dyDescent="0.35">
      <c r="A900" s="1">
        <v>69</v>
      </c>
      <c r="B900" s="5">
        <v>40.61</v>
      </c>
      <c r="C900" s="5">
        <v>52.07</v>
      </c>
      <c r="D900" s="5">
        <v>64.61</v>
      </c>
      <c r="E900" s="5">
        <v>90.13</v>
      </c>
      <c r="F900" s="5">
        <v>120.64</v>
      </c>
      <c r="G900" s="5">
        <v>138</v>
      </c>
      <c r="H900" s="5">
        <v>166.41</v>
      </c>
    </row>
    <row r="901" spans="1:8" ht="15" customHeight="1" x14ac:dyDescent="0.35">
      <c r="A901" s="1">
        <v>70</v>
      </c>
      <c r="B901" s="5">
        <v>41.61</v>
      </c>
      <c r="C901" s="5">
        <v>53.53</v>
      </c>
      <c r="D901" s="5">
        <v>66.14</v>
      </c>
      <c r="E901" s="5">
        <v>92.4</v>
      </c>
      <c r="F901" s="5">
        <v>120.84</v>
      </c>
      <c r="G901" s="5">
        <v>143.9</v>
      </c>
      <c r="H901" s="5">
        <v>166.63</v>
      </c>
    </row>
    <row r="902" spans="1:8" ht="15" customHeight="1" x14ac:dyDescent="0.35">
      <c r="A902" s="1">
        <v>71</v>
      </c>
      <c r="B902" s="5">
        <v>41.8</v>
      </c>
      <c r="C902" s="5">
        <v>53.72</v>
      </c>
      <c r="D902" s="5">
        <v>66.33</v>
      </c>
      <c r="E902" s="5">
        <v>93.18</v>
      </c>
      <c r="F902" s="5">
        <v>121.05</v>
      </c>
      <c r="G902" s="5">
        <v>147.47</v>
      </c>
      <c r="H902" s="5">
        <v>170.96</v>
      </c>
    </row>
    <row r="903" spans="1:8" ht="15" customHeight="1" x14ac:dyDescent="0.35">
      <c r="A903" s="1">
        <v>72</v>
      </c>
      <c r="B903" s="5">
        <v>42.78</v>
      </c>
      <c r="C903" s="5">
        <v>53.91</v>
      </c>
      <c r="D903" s="5">
        <v>66.87</v>
      </c>
      <c r="E903" s="5">
        <v>94.48</v>
      </c>
      <c r="F903" s="5">
        <v>121.25</v>
      </c>
      <c r="G903" s="5">
        <v>149.06</v>
      </c>
      <c r="H903" s="5">
        <v>171.4</v>
      </c>
    </row>
    <row r="904" spans="1:8" ht="15" customHeight="1" x14ac:dyDescent="0.35">
      <c r="A904" s="1">
        <v>73</v>
      </c>
      <c r="B904" s="5">
        <v>42.96</v>
      </c>
      <c r="C904" s="5">
        <v>54.09</v>
      </c>
      <c r="D904" s="5">
        <v>67.06</v>
      </c>
      <c r="E904" s="5">
        <v>94.89</v>
      </c>
      <c r="F904" s="5">
        <v>121.46</v>
      </c>
      <c r="G904" s="5">
        <v>149.26</v>
      </c>
      <c r="H904" s="5">
        <v>171.58</v>
      </c>
    </row>
    <row r="905" spans="1:8" ht="15" customHeight="1" x14ac:dyDescent="0.35">
      <c r="A905" s="1">
        <v>74</v>
      </c>
      <c r="B905" s="5">
        <v>43.12</v>
      </c>
      <c r="C905" s="5">
        <v>54.28</v>
      </c>
      <c r="D905" s="5">
        <v>67.25</v>
      </c>
      <c r="E905" s="5">
        <v>95.09</v>
      </c>
      <c r="F905" s="5">
        <v>121.67</v>
      </c>
      <c r="G905" s="5">
        <v>149.47</v>
      </c>
      <c r="H905" s="5">
        <v>171.77</v>
      </c>
    </row>
    <row r="906" spans="1:8" ht="15" customHeight="1" x14ac:dyDescent="0.35">
      <c r="A906" s="1">
        <v>75</v>
      </c>
      <c r="B906" s="5">
        <v>43.5</v>
      </c>
      <c r="C906" s="5">
        <v>54.66</v>
      </c>
      <c r="D906" s="5">
        <v>67.62</v>
      </c>
      <c r="E906" s="5">
        <v>95.52</v>
      </c>
      <c r="F906" s="5">
        <v>122.09</v>
      </c>
      <c r="G906" s="5">
        <v>149.88999999999999</v>
      </c>
      <c r="H906" s="5">
        <v>172.25</v>
      </c>
    </row>
    <row r="907" spans="1:8" ht="15" customHeight="1" x14ac:dyDescent="0.35">
      <c r="A907" s="1">
        <v>76</v>
      </c>
      <c r="B907" s="5">
        <v>44.04</v>
      </c>
      <c r="C907" s="5">
        <v>55.02</v>
      </c>
      <c r="D907" s="5">
        <v>67.989999999999995</v>
      </c>
      <c r="E907" s="5">
        <v>95.92</v>
      </c>
      <c r="F907" s="5">
        <v>122.51</v>
      </c>
      <c r="G907" s="5">
        <v>153.69999999999999</v>
      </c>
      <c r="H907" s="5">
        <v>181.47</v>
      </c>
    </row>
    <row r="908" spans="1:8" ht="15" customHeight="1" x14ac:dyDescent="0.35">
      <c r="A908" s="1">
        <v>77</v>
      </c>
      <c r="B908" s="5">
        <v>44.39</v>
      </c>
      <c r="C908" s="5">
        <v>55.41</v>
      </c>
      <c r="D908" s="5">
        <v>68.37</v>
      </c>
      <c r="E908" s="5">
        <v>96.34</v>
      </c>
      <c r="F908" s="5">
        <v>122.91</v>
      </c>
      <c r="G908" s="5">
        <v>154.12</v>
      </c>
      <c r="H908" s="5">
        <v>182.39</v>
      </c>
    </row>
    <row r="909" spans="1:8" ht="15" customHeight="1" x14ac:dyDescent="0.35">
      <c r="A909" s="1">
        <v>78</v>
      </c>
      <c r="B909" s="5">
        <v>44.73</v>
      </c>
      <c r="C909" s="5">
        <v>55.85</v>
      </c>
      <c r="D909" s="5">
        <v>68.75</v>
      </c>
      <c r="E909" s="5">
        <v>96.75</v>
      </c>
      <c r="F909" s="5">
        <v>123.34</v>
      </c>
      <c r="G909" s="5">
        <v>154.55000000000001</v>
      </c>
      <c r="H909" s="5">
        <v>183.25</v>
      </c>
    </row>
    <row r="910" spans="1:8" ht="15" customHeight="1" x14ac:dyDescent="0.35">
      <c r="A910" s="1">
        <v>79</v>
      </c>
      <c r="B910" s="5">
        <v>45.07</v>
      </c>
      <c r="C910" s="5">
        <v>56.19</v>
      </c>
      <c r="D910" s="5">
        <v>69.11</v>
      </c>
      <c r="E910" s="5">
        <v>97.17</v>
      </c>
      <c r="F910" s="5">
        <v>123.74</v>
      </c>
      <c r="G910" s="5">
        <v>154.96</v>
      </c>
      <c r="H910" s="5">
        <v>184.96</v>
      </c>
    </row>
    <row r="911" spans="1:8" ht="15" customHeight="1" x14ac:dyDescent="0.35">
      <c r="A911" s="1">
        <v>80</v>
      </c>
      <c r="B911" s="5">
        <v>45.42</v>
      </c>
      <c r="C911" s="5">
        <v>56.53</v>
      </c>
      <c r="D911" s="5">
        <v>69.53</v>
      </c>
      <c r="E911" s="5">
        <v>97.57</v>
      </c>
      <c r="F911" s="5">
        <v>124.16</v>
      </c>
      <c r="G911" s="5">
        <v>155.37</v>
      </c>
      <c r="H911" s="5">
        <v>185.37</v>
      </c>
    </row>
    <row r="912" spans="1:8" ht="15" customHeight="1" x14ac:dyDescent="0.35">
      <c r="A912" s="1">
        <v>81</v>
      </c>
      <c r="B912" s="5">
        <v>45.75</v>
      </c>
      <c r="C912" s="5">
        <v>57.47</v>
      </c>
      <c r="D912" s="5">
        <v>69.87</v>
      </c>
      <c r="E912" s="5">
        <v>98.03</v>
      </c>
      <c r="F912" s="5">
        <v>125.65</v>
      </c>
      <c r="G912" s="5">
        <v>156.07</v>
      </c>
      <c r="H912" s="5">
        <v>185.8</v>
      </c>
    </row>
    <row r="913" spans="1:8" ht="15" customHeight="1" x14ac:dyDescent="0.35">
      <c r="A913" s="1">
        <v>82</v>
      </c>
      <c r="B913" s="5">
        <v>47.38</v>
      </c>
      <c r="C913" s="5">
        <v>59.87</v>
      </c>
      <c r="D913" s="5">
        <v>72.62</v>
      </c>
      <c r="E913" s="5">
        <v>105.39</v>
      </c>
      <c r="F913" s="5">
        <v>134.77000000000001</v>
      </c>
      <c r="G913" s="5">
        <v>169.32</v>
      </c>
      <c r="H913" s="5">
        <v>186.7</v>
      </c>
    </row>
    <row r="914" spans="1:8" ht="15" customHeight="1" x14ac:dyDescent="0.35">
      <c r="A914" s="1">
        <v>83</v>
      </c>
      <c r="B914" s="5">
        <v>47.72</v>
      </c>
      <c r="C914" s="5">
        <v>60.25</v>
      </c>
      <c r="D914" s="5">
        <v>72.98</v>
      </c>
      <c r="E914" s="5">
        <v>106.52</v>
      </c>
      <c r="F914" s="5">
        <v>142.62</v>
      </c>
      <c r="G914" s="5">
        <v>170.66</v>
      </c>
      <c r="H914" s="5">
        <v>191.49</v>
      </c>
    </row>
    <row r="915" spans="1:8" ht="15" customHeight="1" x14ac:dyDescent="0.35">
      <c r="A915" s="1">
        <v>84</v>
      </c>
      <c r="B915" s="5">
        <v>48.07</v>
      </c>
      <c r="C915" s="5">
        <v>62.2</v>
      </c>
      <c r="D915" s="5">
        <v>74.06</v>
      </c>
      <c r="E915" s="5">
        <v>106.94</v>
      </c>
      <c r="F915" s="5">
        <v>143.4</v>
      </c>
      <c r="G915" s="5">
        <v>171.07</v>
      </c>
      <c r="H915" s="5">
        <v>191.97</v>
      </c>
    </row>
    <row r="916" spans="1:8" ht="15" customHeight="1" x14ac:dyDescent="0.35">
      <c r="A916" s="1">
        <v>85</v>
      </c>
      <c r="B916" s="5">
        <v>48.41</v>
      </c>
      <c r="C916" s="5">
        <v>63.61</v>
      </c>
      <c r="D916" s="5">
        <v>75.37</v>
      </c>
      <c r="E916" s="5">
        <v>110.81</v>
      </c>
      <c r="F916" s="5">
        <v>143.82</v>
      </c>
      <c r="G916" s="5">
        <v>171.49</v>
      </c>
      <c r="H916" s="5">
        <v>199.12</v>
      </c>
    </row>
    <row r="917" spans="1:8" ht="15" customHeight="1" x14ac:dyDescent="0.35">
      <c r="A917" s="1">
        <v>86</v>
      </c>
      <c r="B917" s="5">
        <v>48.74</v>
      </c>
      <c r="C917" s="5">
        <v>64.17</v>
      </c>
      <c r="D917" s="5">
        <v>75.64</v>
      </c>
      <c r="E917" s="5">
        <v>111.23</v>
      </c>
      <c r="F917" s="5">
        <v>144.24</v>
      </c>
      <c r="G917" s="5">
        <v>171.91</v>
      </c>
      <c r="H917" s="5">
        <v>199.84</v>
      </c>
    </row>
    <row r="918" spans="1:8" ht="15" customHeight="1" x14ac:dyDescent="0.35">
      <c r="A918" s="1">
        <v>87</v>
      </c>
      <c r="B918" s="5">
        <v>49.09</v>
      </c>
      <c r="C918" s="5">
        <v>65.92</v>
      </c>
      <c r="D918" s="5">
        <v>75.900000000000006</v>
      </c>
      <c r="E918" s="5">
        <v>111.64</v>
      </c>
      <c r="F918" s="5">
        <v>144.65</v>
      </c>
      <c r="G918" s="5">
        <v>173.32</v>
      </c>
      <c r="H918" s="5">
        <v>200.38</v>
      </c>
    </row>
    <row r="919" spans="1:8" ht="15" customHeight="1" x14ac:dyDescent="0.35">
      <c r="A919" s="1">
        <v>88</v>
      </c>
      <c r="B919" s="5">
        <v>49.42</v>
      </c>
      <c r="C919" s="5">
        <v>66.19</v>
      </c>
      <c r="D919" s="5">
        <v>76.16</v>
      </c>
      <c r="E919" s="5">
        <v>111.91</v>
      </c>
      <c r="F919" s="5">
        <v>145.07</v>
      </c>
      <c r="G919" s="5">
        <v>173.7</v>
      </c>
      <c r="H919" s="5">
        <v>200.76</v>
      </c>
    </row>
    <row r="920" spans="1:8" ht="15" customHeight="1" x14ac:dyDescent="0.35">
      <c r="A920" s="1">
        <v>89</v>
      </c>
      <c r="B920" s="5">
        <v>49.77</v>
      </c>
      <c r="C920" s="5">
        <v>66.459999999999994</v>
      </c>
      <c r="D920" s="5">
        <v>76.42</v>
      </c>
      <c r="E920" s="5">
        <v>112.17</v>
      </c>
      <c r="F920" s="5">
        <v>145.52000000000001</v>
      </c>
      <c r="G920" s="5">
        <v>174.13</v>
      </c>
      <c r="H920" s="5">
        <v>201.13</v>
      </c>
    </row>
    <row r="921" spans="1:8" ht="15" customHeight="1" x14ac:dyDescent="0.35">
      <c r="A921" s="1">
        <v>90</v>
      </c>
      <c r="B921" s="5">
        <v>50.03</v>
      </c>
      <c r="C921" s="5">
        <v>66.72</v>
      </c>
      <c r="D921" s="5">
        <v>76.69</v>
      </c>
      <c r="E921" s="5">
        <v>112.43</v>
      </c>
      <c r="F921" s="5">
        <v>145.88999999999999</v>
      </c>
      <c r="G921" s="5">
        <v>174.58</v>
      </c>
      <c r="H921" s="5">
        <v>201.52</v>
      </c>
    </row>
    <row r="922" spans="1:8" ht="15" customHeight="1" x14ac:dyDescent="0.35">
      <c r="A922" s="1">
        <v>91</v>
      </c>
      <c r="B922" s="5">
        <v>52</v>
      </c>
      <c r="C922" s="5">
        <v>67.33</v>
      </c>
      <c r="D922" s="5">
        <v>79.989999999999995</v>
      </c>
      <c r="E922" s="5">
        <v>113.3</v>
      </c>
      <c r="F922" s="5">
        <v>146.30000000000001</v>
      </c>
      <c r="G922" s="5">
        <v>174.97</v>
      </c>
      <c r="H922" s="5">
        <v>201.93</v>
      </c>
    </row>
    <row r="923" spans="1:8" ht="15" customHeight="1" x14ac:dyDescent="0.35">
      <c r="A923" s="1">
        <v>92</v>
      </c>
      <c r="B923" s="5">
        <v>52.33</v>
      </c>
      <c r="C923" s="5">
        <v>67.680000000000007</v>
      </c>
      <c r="D923" s="5">
        <v>80.34</v>
      </c>
      <c r="E923" s="5">
        <v>113.72</v>
      </c>
      <c r="F923" s="5">
        <v>146.72</v>
      </c>
      <c r="G923" s="5">
        <v>175.38</v>
      </c>
      <c r="H923" s="5">
        <v>202.35</v>
      </c>
    </row>
    <row r="924" spans="1:8" ht="15" customHeight="1" x14ac:dyDescent="0.35">
      <c r="A924" s="1">
        <v>93</v>
      </c>
      <c r="B924" s="5">
        <v>52.77</v>
      </c>
      <c r="C924" s="5">
        <v>68.040000000000006</v>
      </c>
      <c r="D924" s="5">
        <v>80.7</v>
      </c>
      <c r="E924" s="5">
        <v>114.14</v>
      </c>
      <c r="F924" s="5">
        <v>147.13999999999999</v>
      </c>
      <c r="G924" s="5">
        <v>175.79</v>
      </c>
      <c r="H924" s="5">
        <v>202.76</v>
      </c>
    </row>
    <row r="925" spans="1:8" ht="15" customHeight="1" x14ac:dyDescent="0.35">
      <c r="A925" s="1">
        <v>94</v>
      </c>
      <c r="B925" s="5">
        <v>53.15</v>
      </c>
      <c r="C925" s="5">
        <v>68.39</v>
      </c>
      <c r="D925" s="5">
        <v>81.05</v>
      </c>
      <c r="E925" s="5">
        <v>114.54</v>
      </c>
      <c r="F925" s="5">
        <v>147.55000000000001</v>
      </c>
      <c r="G925" s="5">
        <v>176.22</v>
      </c>
      <c r="H925" s="5">
        <v>203.28</v>
      </c>
    </row>
    <row r="926" spans="1:8" ht="15" customHeight="1" x14ac:dyDescent="0.35">
      <c r="A926" s="1">
        <v>95</v>
      </c>
      <c r="B926" s="5">
        <v>53.6</v>
      </c>
      <c r="C926" s="5">
        <v>68.739999999999995</v>
      </c>
      <c r="D926" s="5">
        <v>81.400000000000006</v>
      </c>
      <c r="E926" s="5">
        <v>114.97</v>
      </c>
      <c r="F926" s="5">
        <v>148.16</v>
      </c>
      <c r="G926" s="5">
        <v>176.64</v>
      </c>
      <c r="H926" s="5">
        <v>213.49</v>
      </c>
    </row>
    <row r="927" spans="1:8" ht="15" customHeight="1" x14ac:dyDescent="0.35">
      <c r="A927" s="1">
        <v>96</v>
      </c>
      <c r="B927" s="5">
        <v>54.81</v>
      </c>
      <c r="C927" s="5">
        <v>69.06</v>
      </c>
      <c r="D927" s="5">
        <v>83.73</v>
      </c>
      <c r="E927" s="5">
        <v>115.38</v>
      </c>
      <c r="F927" s="5">
        <v>160</v>
      </c>
      <c r="G927" s="5">
        <v>177.05</v>
      </c>
      <c r="H927" s="5">
        <v>221.42</v>
      </c>
    </row>
    <row r="928" spans="1:8" ht="15" customHeight="1" x14ac:dyDescent="0.35">
      <c r="A928" s="1">
        <v>97</v>
      </c>
      <c r="B928" s="5">
        <v>55.14</v>
      </c>
      <c r="C928" s="5">
        <v>69.44</v>
      </c>
      <c r="D928" s="5">
        <v>85.75</v>
      </c>
      <c r="E928" s="5">
        <v>115.8</v>
      </c>
      <c r="F928" s="5">
        <v>161.19999999999999</v>
      </c>
      <c r="G928" s="5">
        <v>177.48</v>
      </c>
      <c r="H928" s="5">
        <v>222.21</v>
      </c>
    </row>
    <row r="929" spans="1:8" ht="15" customHeight="1" x14ac:dyDescent="0.35">
      <c r="A929" s="1">
        <v>98</v>
      </c>
      <c r="B929" s="5">
        <v>57.4</v>
      </c>
      <c r="C929" s="5">
        <v>69.8</v>
      </c>
      <c r="D929" s="5">
        <v>86.1</v>
      </c>
      <c r="E929" s="5">
        <v>116.2</v>
      </c>
      <c r="F929" s="5">
        <v>161.62</v>
      </c>
      <c r="G929" s="5">
        <v>178.08</v>
      </c>
      <c r="H929" s="5">
        <v>222.65</v>
      </c>
    </row>
    <row r="930" spans="1:8" ht="15" customHeight="1" x14ac:dyDescent="0.35">
      <c r="A930" s="1">
        <v>99</v>
      </c>
      <c r="B930" s="5">
        <v>58.32</v>
      </c>
      <c r="C930" s="5">
        <v>70.14</v>
      </c>
      <c r="D930" s="5">
        <v>88.12</v>
      </c>
      <c r="E930" s="5">
        <v>120.89</v>
      </c>
      <c r="F930" s="5">
        <v>168.82</v>
      </c>
      <c r="G930" s="5">
        <v>190.04</v>
      </c>
      <c r="H930" s="5">
        <v>229.23</v>
      </c>
    </row>
    <row r="931" spans="1:8" ht="15" customHeight="1" x14ac:dyDescent="0.35">
      <c r="A931" s="1">
        <v>100</v>
      </c>
      <c r="B931" s="5">
        <v>58.6</v>
      </c>
      <c r="C931" s="5">
        <v>75.39</v>
      </c>
      <c r="D931" s="5">
        <v>96.78</v>
      </c>
      <c r="E931" s="5">
        <v>133.66</v>
      </c>
      <c r="F931" s="5">
        <v>186.99</v>
      </c>
      <c r="G931" s="5">
        <v>210.36</v>
      </c>
      <c r="H931" s="5">
        <v>239</v>
      </c>
    </row>
    <row r="932" spans="1:8" ht="15" customHeight="1" x14ac:dyDescent="0.35">
      <c r="A932" s="1">
        <v>101</v>
      </c>
      <c r="B932" s="5">
        <v>59.18</v>
      </c>
      <c r="C932" s="5">
        <v>76.14</v>
      </c>
      <c r="D932" s="5">
        <v>97.76</v>
      </c>
      <c r="E932" s="5">
        <v>134.99</v>
      </c>
      <c r="F932" s="5">
        <v>188.86</v>
      </c>
      <c r="G932" s="5">
        <v>212.47</v>
      </c>
      <c r="H932" s="5">
        <v>241.39</v>
      </c>
    </row>
    <row r="933" spans="1:8" ht="15" customHeight="1" x14ac:dyDescent="0.35">
      <c r="A933" s="1">
        <v>102</v>
      </c>
      <c r="B933" s="5">
        <v>59.77</v>
      </c>
      <c r="C933" s="5">
        <v>76.900000000000006</v>
      </c>
      <c r="D933" s="5">
        <v>98.72</v>
      </c>
      <c r="E933" s="5">
        <v>136.33000000000001</v>
      </c>
      <c r="F933" s="5">
        <v>190.72</v>
      </c>
      <c r="G933" s="5">
        <v>214.56</v>
      </c>
      <c r="H933" s="5">
        <v>243.78</v>
      </c>
    </row>
    <row r="934" spans="1:8" ht="15" customHeight="1" x14ac:dyDescent="0.35">
      <c r="A934" s="1">
        <v>103</v>
      </c>
      <c r="B934" s="5">
        <v>60.35</v>
      </c>
      <c r="C934" s="5">
        <v>77.64</v>
      </c>
      <c r="D934" s="5">
        <v>99.69</v>
      </c>
      <c r="E934" s="5">
        <v>137.66</v>
      </c>
      <c r="F934" s="5">
        <v>192.6</v>
      </c>
      <c r="G934" s="5">
        <v>216.67</v>
      </c>
      <c r="H934" s="5">
        <v>246.16</v>
      </c>
    </row>
    <row r="935" spans="1:8" ht="15" customHeight="1" x14ac:dyDescent="0.35">
      <c r="A935" s="1">
        <v>104</v>
      </c>
      <c r="B935" s="5">
        <v>60.94</v>
      </c>
      <c r="C935" s="5">
        <v>78.400000000000006</v>
      </c>
      <c r="D935" s="5">
        <v>100.66</v>
      </c>
      <c r="E935" s="5">
        <v>139</v>
      </c>
      <c r="F935" s="5">
        <v>194.46</v>
      </c>
      <c r="G935" s="5">
        <v>218.77</v>
      </c>
      <c r="H935" s="5">
        <v>248.56</v>
      </c>
    </row>
    <row r="936" spans="1:8" ht="15" customHeight="1" x14ac:dyDescent="0.35">
      <c r="A936" s="1">
        <v>105</v>
      </c>
      <c r="B936" s="5">
        <v>61.53</v>
      </c>
      <c r="C936" s="5">
        <v>79.16</v>
      </c>
      <c r="D936" s="5">
        <v>101.62</v>
      </c>
      <c r="E936" s="5">
        <v>140.34</v>
      </c>
      <c r="F936" s="5">
        <v>196.34</v>
      </c>
      <c r="G936" s="5">
        <v>220.88</v>
      </c>
      <c r="H936" s="5">
        <v>250.95</v>
      </c>
    </row>
    <row r="937" spans="1:8" ht="15" customHeight="1" x14ac:dyDescent="0.35">
      <c r="A937" s="1">
        <v>106</v>
      </c>
      <c r="B937" s="5">
        <v>62.12</v>
      </c>
      <c r="C937" s="5">
        <v>79.91</v>
      </c>
      <c r="D937" s="5">
        <v>102.59</v>
      </c>
      <c r="E937" s="5">
        <v>141.66999999999999</v>
      </c>
      <c r="F937" s="5">
        <v>198.2</v>
      </c>
      <c r="G937" s="5">
        <v>222.98</v>
      </c>
      <c r="H937" s="5">
        <v>253.34</v>
      </c>
    </row>
    <row r="938" spans="1:8" ht="15" customHeight="1" x14ac:dyDescent="0.35">
      <c r="A938" s="1">
        <v>107</v>
      </c>
      <c r="B938" s="5">
        <v>62.7</v>
      </c>
      <c r="C938" s="5">
        <v>80.67</v>
      </c>
      <c r="D938" s="5">
        <v>103.56</v>
      </c>
      <c r="E938" s="5">
        <v>143.01</v>
      </c>
      <c r="F938" s="5">
        <v>200.08</v>
      </c>
      <c r="G938" s="5">
        <v>225.08</v>
      </c>
      <c r="H938" s="5">
        <v>255.73</v>
      </c>
    </row>
    <row r="939" spans="1:8" ht="15" customHeight="1" x14ac:dyDescent="0.35">
      <c r="A939" s="1">
        <v>108</v>
      </c>
      <c r="B939" s="5">
        <v>63.28</v>
      </c>
      <c r="C939" s="5">
        <v>81.41</v>
      </c>
      <c r="D939" s="5">
        <v>104.52</v>
      </c>
      <c r="E939" s="5">
        <v>144.35</v>
      </c>
      <c r="F939" s="5">
        <v>201.94</v>
      </c>
      <c r="G939" s="5">
        <v>227.19</v>
      </c>
      <c r="H939" s="5">
        <v>258.12</v>
      </c>
    </row>
    <row r="940" spans="1:8" ht="15" customHeight="1" x14ac:dyDescent="0.35">
      <c r="A940" s="1">
        <v>109</v>
      </c>
      <c r="B940" s="5">
        <v>63.87</v>
      </c>
      <c r="C940" s="5">
        <v>82.17</v>
      </c>
      <c r="D940" s="5">
        <v>105.5</v>
      </c>
      <c r="E940" s="5">
        <v>145.68</v>
      </c>
      <c r="F940" s="5">
        <v>203.82</v>
      </c>
      <c r="G940" s="5">
        <v>229.29</v>
      </c>
      <c r="H940" s="5">
        <v>260.51</v>
      </c>
    </row>
    <row r="941" spans="1:8" ht="15" customHeight="1" x14ac:dyDescent="0.35">
      <c r="A941" s="1">
        <v>110</v>
      </c>
      <c r="B941" s="5">
        <v>64.459999999999994</v>
      </c>
      <c r="C941" s="5">
        <v>82.92</v>
      </c>
      <c r="D941" s="5">
        <v>106.47</v>
      </c>
      <c r="E941" s="5">
        <v>147.02000000000001</v>
      </c>
      <c r="F941" s="5">
        <v>205.68</v>
      </c>
      <c r="G941" s="5">
        <v>231.39</v>
      </c>
      <c r="H941" s="5">
        <v>262.89999999999998</v>
      </c>
    </row>
    <row r="942" spans="1:8" ht="15" customHeight="1" x14ac:dyDescent="0.35">
      <c r="A942" s="1">
        <v>111</v>
      </c>
      <c r="B942" s="5">
        <v>65.05</v>
      </c>
      <c r="C942" s="5">
        <v>83.68</v>
      </c>
      <c r="D942" s="5">
        <v>107.43</v>
      </c>
      <c r="E942" s="5">
        <v>148.36000000000001</v>
      </c>
      <c r="F942" s="5">
        <v>207.56</v>
      </c>
      <c r="G942" s="5">
        <v>233.5</v>
      </c>
      <c r="H942" s="5">
        <v>265.29000000000002</v>
      </c>
    </row>
    <row r="943" spans="1:8" ht="15" customHeight="1" x14ac:dyDescent="0.35">
      <c r="A943" s="1">
        <v>112</v>
      </c>
      <c r="B943" s="5">
        <v>65.63</v>
      </c>
      <c r="C943" s="5">
        <v>84.44</v>
      </c>
      <c r="D943" s="5">
        <v>108.4</v>
      </c>
      <c r="E943" s="5">
        <v>149.69</v>
      </c>
      <c r="F943" s="5">
        <v>209.42</v>
      </c>
      <c r="G943" s="5">
        <v>235.61</v>
      </c>
      <c r="H943" s="5">
        <v>267.68</v>
      </c>
    </row>
    <row r="944" spans="1:8" ht="15" customHeight="1" x14ac:dyDescent="0.35">
      <c r="A944" s="1">
        <v>113</v>
      </c>
      <c r="B944" s="5">
        <v>66.209999999999994</v>
      </c>
      <c r="C944" s="5">
        <v>85.19</v>
      </c>
      <c r="D944" s="5">
        <v>109.37</v>
      </c>
      <c r="E944" s="5">
        <v>151.03</v>
      </c>
      <c r="F944" s="5">
        <v>211.3</v>
      </c>
      <c r="G944" s="5">
        <v>237.7</v>
      </c>
      <c r="H944" s="5">
        <v>270.07</v>
      </c>
    </row>
    <row r="945" spans="1:8" ht="15" customHeight="1" x14ac:dyDescent="0.35">
      <c r="A945" s="1">
        <v>114</v>
      </c>
      <c r="B945" s="5">
        <v>66.8</v>
      </c>
      <c r="C945" s="5">
        <v>85.94</v>
      </c>
      <c r="D945" s="5">
        <v>110.33</v>
      </c>
      <c r="E945" s="5">
        <v>152.37</v>
      </c>
      <c r="F945" s="5">
        <v>213.16</v>
      </c>
      <c r="G945" s="5">
        <v>239.81</v>
      </c>
      <c r="H945" s="5">
        <v>272.45999999999998</v>
      </c>
    </row>
    <row r="946" spans="1:8" ht="15" customHeight="1" x14ac:dyDescent="0.35">
      <c r="A946" s="1">
        <v>115</v>
      </c>
      <c r="B946" s="5">
        <v>67.38</v>
      </c>
      <c r="C946" s="5">
        <v>86.69</v>
      </c>
      <c r="D946" s="5">
        <v>111.3</v>
      </c>
      <c r="E946" s="5">
        <v>153.69999999999999</v>
      </c>
      <c r="F946" s="5">
        <v>215.04</v>
      </c>
      <c r="G946" s="5">
        <v>241.92</v>
      </c>
      <c r="H946" s="5">
        <v>274.85000000000002</v>
      </c>
    </row>
    <row r="947" spans="1:8" ht="15" customHeight="1" x14ac:dyDescent="0.35">
      <c r="A947" s="1">
        <v>116</v>
      </c>
      <c r="B947" s="5">
        <v>67.98</v>
      </c>
      <c r="C947" s="5">
        <v>87.45</v>
      </c>
      <c r="D947" s="5">
        <v>112.27</v>
      </c>
      <c r="E947" s="5">
        <v>155.04</v>
      </c>
      <c r="F947" s="5">
        <v>216.9</v>
      </c>
      <c r="G947" s="5">
        <v>244.01</v>
      </c>
      <c r="H947" s="5">
        <v>277.24</v>
      </c>
    </row>
    <row r="948" spans="1:8" ht="15" customHeight="1" x14ac:dyDescent="0.35">
      <c r="A948" s="1">
        <v>117</v>
      </c>
      <c r="B948" s="5">
        <v>68.56</v>
      </c>
      <c r="C948" s="5">
        <v>88.2</v>
      </c>
      <c r="D948" s="5">
        <v>113.24</v>
      </c>
      <c r="E948" s="5">
        <v>156.38</v>
      </c>
      <c r="F948" s="5">
        <v>218.77</v>
      </c>
      <c r="G948" s="5">
        <v>246.12</v>
      </c>
      <c r="H948" s="5">
        <v>279.63</v>
      </c>
    </row>
    <row r="949" spans="1:8" ht="15" customHeight="1" x14ac:dyDescent="0.35">
      <c r="A949" s="1">
        <v>118</v>
      </c>
      <c r="B949" s="5">
        <v>69.150000000000006</v>
      </c>
      <c r="C949" s="5">
        <v>88.96</v>
      </c>
      <c r="D949" s="5">
        <v>114.21</v>
      </c>
      <c r="E949" s="5">
        <v>157.71</v>
      </c>
      <c r="F949" s="5">
        <v>220.64</v>
      </c>
      <c r="G949" s="5">
        <v>248.23</v>
      </c>
      <c r="H949" s="5">
        <v>282.02</v>
      </c>
    </row>
    <row r="950" spans="1:8" ht="15" customHeight="1" x14ac:dyDescent="0.35">
      <c r="A950" s="1">
        <v>119</v>
      </c>
      <c r="B950" s="5">
        <v>69.73</v>
      </c>
      <c r="C950" s="5">
        <v>89.71</v>
      </c>
      <c r="D950" s="5">
        <v>115.18</v>
      </c>
      <c r="E950" s="5">
        <v>159.05000000000001</v>
      </c>
      <c r="F950" s="5">
        <v>222.51</v>
      </c>
      <c r="G950" s="5">
        <v>250.32</v>
      </c>
      <c r="H950" s="5">
        <v>284.41000000000003</v>
      </c>
    </row>
    <row r="951" spans="1:8" ht="15" customHeight="1" x14ac:dyDescent="0.35">
      <c r="A951" s="1">
        <v>120</v>
      </c>
      <c r="B951" s="5">
        <v>70.31</v>
      </c>
      <c r="C951" s="5">
        <v>90.46</v>
      </c>
      <c r="D951" s="5">
        <v>116.14</v>
      </c>
      <c r="E951" s="5">
        <v>160.38999999999999</v>
      </c>
      <c r="F951" s="5">
        <v>224.38</v>
      </c>
      <c r="G951" s="5">
        <v>252.43</v>
      </c>
      <c r="H951" s="5">
        <v>286.8</v>
      </c>
    </row>
    <row r="952" spans="1:8" ht="15" customHeight="1" x14ac:dyDescent="0.35">
      <c r="A952" s="1">
        <v>121</v>
      </c>
      <c r="B952" s="5">
        <v>70.900000000000006</v>
      </c>
      <c r="C952" s="5">
        <v>91.22</v>
      </c>
      <c r="D952" s="5">
        <v>117.11</v>
      </c>
      <c r="E952" s="5">
        <v>161.72</v>
      </c>
      <c r="F952" s="5">
        <v>226.25</v>
      </c>
      <c r="G952" s="5">
        <v>254.54</v>
      </c>
      <c r="H952" s="5">
        <v>289.19</v>
      </c>
    </row>
    <row r="953" spans="1:8" ht="15" customHeight="1" x14ac:dyDescent="0.35">
      <c r="A953" s="1">
        <v>122</v>
      </c>
      <c r="B953" s="5">
        <v>71.489999999999995</v>
      </c>
      <c r="C953" s="5">
        <v>91.97</v>
      </c>
      <c r="D953" s="5">
        <v>118.08</v>
      </c>
      <c r="E953" s="5">
        <v>163.05000000000001</v>
      </c>
      <c r="F953" s="5">
        <v>228.12</v>
      </c>
      <c r="G953" s="5">
        <v>256.64</v>
      </c>
      <c r="H953" s="5">
        <v>291.58</v>
      </c>
    </row>
    <row r="954" spans="1:8" ht="15" customHeight="1" x14ac:dyDescent="0.35">
      <c r="A954" s="1">
        <v>123</v>
      </c>
      <c r="B954" s="5">
        <v>72.08</v>
      </c>
      <c r="C954" s="5">
        <v>92.73</v>
      </c>
      <c r="D954" s="5">
        <v>119.04</v>
      </c>
      <c r="E954" s="5">
        <v>164.4</v>
      </c>
      <c r="F954" s="5">
        <v>229.99</v>
      </c>
      <c r="G954" s="5">
        <v>258.74</v>
      </c>
      <c r="H954" s="5">
        <v>293.97000000000003</v>
      </c>
    </row>
    <row r="955" spans="1:8" ht="15" customHeight="1" x14ac:dyDescent="0.35">
      <c r="A955" s="1">
        <v>124</v>
      </c>
      <c r="B955" s="5">
        <v>72.66</v>
      </c>
      <c r="C955" s="5">
        <v>93.48</v>
      </c>
      <c r="D955" s="5">
        <v>120.01</v>
      </c>
      <c r="E955" s="5">
        <v>165.73</v>
      </c>
      <c r="F955" s="5">
        <v>231.86</v>
      </c>
      <c r="G955" s="5">
        <v>260.83999999999997</v>
      </c>
      <c r="H955" s="5">
        <v>296.36</v>
      </c>
    </row>
    <row r="956" spans="1:8" ht="15" customHeight="1" x14ac:dyDescent="0.35">
      <c r="A956" s="1">
        <v>125</v>
      </c>
      <c r="B956" s="5">
        <v>73.239999999999995</v>
      </c>
      <c r="C956" s="5">
        <v>94.23</v>
      </c>
      <c r="D956" s="5">
        <v>120.98</v>
      </c>
      <c r="E956" s="5">
        <v>167.06</v>
      </c>
      <c r="F956" s="5">
        <v>233.73</v>
      </c>
      <c r="G956" s="5">
        <v>262.95</v>
      </c>
      <c r="H956" s="5">
        <v>298.74</v>
      </c>
    </row>
    <row r="957" spans="1:8" ht="15" customHeight="1" x14ac:dyDescent="0.35">
      <c r="A957" s="1">
        <v>126</v>
      </c>
      <c r="B957" s="5">
        <v>73.83</v>
      </c>
      <c r="C957" s="5">
        <v>94.99</v>
      </c>
      <c r="D957" s="5">
        <v>121.95</v>
      </c>
      <c r="E957" s="5">
        <v>168.41</v>
      </c>
      <c r="F957" s="5">
        <v>235.61</v>
      </c>
      <c r="G957" s="5">
        <v>265.05</v>
      </c>
      <c r="H957" s="5">
        <v>301.14</v>
      </c>
    </row>
    <row r="958" spans="1:8" ht="15" customHeight="1" x14ac:dyDescent="0.35">
      <c r="A958" s="1">
        <v>127</v>
      </c>
      <c r="B958" s="5">
        <v>74.42</v>
      </c>
      <c r="C958" s="5">
        <v>95.74</v>
      </c>
      <c r="D958" s="5">
        <v>122.92</v>
      </c>
      <c r="E958" s="5">
        <v>169.74</v>
      </c>
      <c r="F958" s="5">
        <v>237.47</v>
      </c>
      <c r="G958" s="5">
        <v>267.14999999999998</v>
      </c>
      <c r="H958" s="5">
        <v>303.52999999999997</v>
      </c>
    </row>
    <row r="959" spans="1:8" ht="15" customHeight="1" x14ac:dyDescent="0.35">
      <c r="A959" s="1">
        <v>128</v>
      </c>
      <c r="B959" s="5">
        <v>75.010000000000005</v>
      </c>
      <c r="C959" s="5">
        <v>96.5</v>
      </c>
      <c r="D959" s="5">
        <v>123.88</v>
      </c>
      <c r="E959" s="5">
        <v>171.08</v>
      </c>
      <c r="F959" s="5">
        <v>239.35</v>
      </c>
      <c r="G959" s="5">
        <v>269.26</v>
      </c>
      <c r="H959" s="5">
        <v>305.92</v>
      </c>
    </row>
    <row r="960" spans="1:8" ht="15" customHeight="1" x14ac:dyDescent="0.35">
      <c r="A960" s="1">
        <v>129</v>
      </c>
      <c r="B960" s="5">
        <v>75.59</v>
      </c>
      <c r="C960" s="5">
        <v>97.24</v>
      </c>
      <c r="D960" s="5">
        <v>124.85</v>
      </c>
      <c r="E960" s="5">
        <v>172.42</v>
      </c>
      <c r="F960" s="5">
        <v>241.21</v>
      </c>
      <c r="G960" s="5">
        <v>271.37</v>
      </c>
      <c r="H960" s="5">
        <v>308.31</v>
      </c>
    </row>
    <row r="961" spans="1:8" ht="15" customHeight="1" x14ac:dyDescent="0.35">
      <c r="A961" s="1">
        <v>130</v>
      </c>
      <c r="B961" s="5">
        <v>76.180000000000007</v>
      </c>
      <c r="C961" s="5">
        <v>98</v>
      </c>
      <c r="D961" s="5">
        <v>125.82</v>
      </c>
      <c r="E961" s="5">
        <v>173.75</v>
      </c>
      <c r="F961" s="5">
        <v>243.09</v>
      </c>
      <c r="G961" s="5">
        <v>273.45999999999998</v>
      </c>
      <c r="H961" s="5">
        <v>310.7</v>
      </c>
    </row>
    <row r="962" spans="1:8" ht="15" customHeight="1" x14ac:dyDescent="0.35">
      <c r="A962" s="1">
        <v>131</v>
      </c>
      <c r="B962" s="5">
        <v>76.760000000000005</v>
      </c>
      <c r="C962" s="5">
        <v>98.76</v>
      </c>
      <c r="D962" s="5">
        <v>126.78</v>
      </c>
      <c r="E962" s="5">
        <v>175.09</v>
      </c>
      <c r="F962" s="5">
        <v>244.95</v>
      </c>
      <c r="G962" s="5">
        <v>275.57</v>
      </c>
      <c r="H962" s="5">
        <v>313.08999999999997</v>
      </c>
    </row>
    <row r="963" spans="1:8" ht="15" customHeight="1" x14ac:dyDescent="0.35">
      <c r="A963" s="1">
        <v>132</v>
      </c>
      <c r="B963" s="5">
        <v>77.34</v>
      </c>
      <c r="C963" s="5">
        <v>99.51</v>
      </c>
      <c r="D963" s="5">
        <v>127.75</v>
      </c>
      <c r="E963" s="5">
        <v>176.43</v>
      </c>
      <c r="F963" s="5">
        <v>246.82</v>
      </c>
      <c r="G963" s="5">
        <v>277.68</v>
      </c>
      <c r="H963" s="5">
        <v>315.47000000000003</v>
      </c>
    </row>
    <row r="964" spans="1:8" ht="15" customHeight="1" x14ac:dyDescent="0.35">
      <c r="A964" s="1">
        <v>133</v>
      </c>
      <c r="B964" s="5">
        <v>77.94</v>
      </c>
      <c r="C964" s="5">
        <v>100.27</v>
      </c>
      <c r="D964" s="5">
        <v>128.72999999999999</v>
      </c>
      <c r="E964" s="5">
        <v>177.76</v>
      </c>
      <c r="F964" s="5">
        <v>248.69</v>
      </c>
      <c r="G964" s="5">
        <v>279.77</v>
      </c>
      <c r="H964" s="5">
        <v>317.87</v>
      </c>
    </row>
    <row r="965" spans="1:8" ht="15" customHeight="1" x14ac:dyDescent="0.35">
      <c r="A965" s="1">
        <v>134</v>
      </c>
      <c r="B965" s="5">
        <v>78.52</v>
      </c>
      <c r="C965" s="5">
        <v>101.02</v>
      </c>
      <c r="D965" s="5">
        <v>129.69</v>
      </c>
      <c r="E965" s="5">
        <v>179.1</v>
      </c>
      <c r="F965" s="5">
        <v>250.56</v>
      </c>
      <c r="G965" s="5">
        <v>281.88</v>
      </c>
      <c r="H965" s="5">
        <v>320.26</v>
      </c>
    </row>
    <row r="966" spans="1:8" ht="15" customHeight="1" x14ac:dyDescent="0.35">
      <c r="A966" s="1">
        <v>135</v>
      </c>
      <c r="B966" s="5">
        <v>79.11</v>
      </c>
      <c r="C966" s="5">
        <v>101.77</v>
      </c>
      <c r="D966" s="5">
        <v>130.66</v>
      </c>
      <c r="E966" s="5">
        <v>180.44</v>
      </c>
      <c r="F966" s="5">
        <v>252.43</v>
      </c>
      <c r="G966" s="5">
        <v>283.99</v>
      </c>
      <c r="H966" s="5">
        <v>322.64999999999998</v>
      </c>
    </row>
    <row r="967" spans="1:8" ht="15" customHeight="1" x14ac:dyDescent="0.35">
      <c r="A967" s="1">
        <v>136</v>
      </c>
      <c r="B967" s="5">
        <v>79.69</v>
      </c>
      <c r="C967" s="5">
        <v>102.52</v>
      </c>
      <c r="D967" s="5">
        <v>131.63</v>
      </c>
      <c r="E967" s="5">
        <v>181.77</v>
      </c>
      <c r="F967" s="5">
        <v>254.3</v>
      </c>
      <c r="G967" s="5">
        <v>286.08999999999997</v>
      </c>
      <c r="H967" s="5">
        <v>325.04000000000002</v>
      </c>
    </row>
    <row r="968" spans="1:8" ht="15" customHeight="1" x14ac:dyDescent="0.35">
      <c r="A968" s="1">
        <v>137</v>
      </c>
      <c r="B968" s="5">
        <v>80.28</v>
      </c>
      <c r="C968" s="5">
        <v>103.28</v>
      </c>
      <c r="D968" s="5">
        <v>132.59</v>
      </c>
      <c r="E968" s="5">
        <v>183.11</v>
      </c>
      <c r="F968" s="5">
        <v>256.17</v>
      </c>
      <c r="G968" s="5">
        <v>288.19</v>
      </c>
      <c r="H968" s="5">
        <v>327.43</v>
      </c>
    </row>
    <row r="969" spans="1:8" ht="15" customHeight="1" x14ac:dyDescent="0.35">
      <c r="A969" s="1">
        <v>138</v>
      </c>
      <c r="B969" s="5">
        <v>80.87</v>
      </c>
      <c r="C969" s="5">
        <v>104.04</v>
      </c>
      <c r="D969" s="5">
        <v>133.56</v>
      </c>
      <c r="E969" s="5">
        <v>184.44</v>
      </c>
      <c r="F969" s="5">
        <v>258.04000000000002</v>
      </c>
      <c r="G969" s="5">
        <v>290.3</v>
      </c>
      <c r="H969" s="5">
        <v>329.82</v>
      </c>
    </row>
    <row r="970" spans="1:8" ht="15" customHeight="1" x14ac:dyDescent="0.35">
      <c r="A970" s="1">
        <v>139</v>
      </c>
      <c r="B970" s="5">
        <v>81.45</v>
      </c>
      <c r="C970" s="5">
        <v>104.79</v>
      </c>
      <c r="D970" s="5">
        <v>134.53</v>
      </c>
      <c r="E970" s="5">
        <v>185.78</v>
      </c>
      <c r="F970" s="5">
        <v>259.91000000000003</v>
      </c>
      <c r="G970" s="5">
        <v>292.39999999999998</v>
      </c>
      <c r="H970" s="5">
        <v>332.2</v>
      </c>
    </row>
    <row r="971" spans="1:8" ht="15" customHeight="1" x14ac:dyDescent="0.35">
      <c r="A971" s="1">
        <v>140</v>
      </c>
      <c r="B971" s="5">
        <v>82.04</v>
      </c>
      <c r="C971" s="5">
        <v>105.54</v>
      </c>
      <c r="D971" s="5">
        <v>135.49</v>
      </c>
      <c r="E971" s="5">
        <v>187.12</v>
      </c>
      <c r="F971" s="5">
        <v>261.77999999999997</v>
      </c>
      <c r="G971" s="5">
        <v>294.5</v>
      </c>
      <c r="H971" s="5">
        <v>334.6</v>
      </c>
    </row>
    <row r="972" spans="1:8" ht="15" customHeight="1" x14ac:dyDescent="0.35">
      <c r="A972" s="1">
        <v>141</v>
      </c>
      <c r="B972" s="5">
        <v>82.62</v>
      </c>
      <c r="C972" s="5">
        <v>106.29</v>
      </c>
      <c r="D972" s="5">
        <v>136.47</v>
      </c>
      <c r="E972" s="5">
        <v>188.45</v>
      </c>
      <c r="F972" s="5">
        <v>263.64999999999998</v>
      </c>
      <c r="G972" s="5">
        <v>296.60000000000002</v>
      </c>
      <c r="H972" s="5">
        <v>336.99</v>
      </c>
    </row>
    <row r="973" spans="1:8" ht="15" customHeight="1" x14ac:dyDescent="0.35">
      <c r="A973" s="1">
        <v>142</v>
      </c>
      <c r="B973" s="5">
        <v>83.21</v>
      </c>
      <c r="C973" s="5">
        <v>107.05</v>
      </c>
      <c r="D973" s="5">
        <v>137.44</v>
      </c>
      <c r="E973" s="5">
        <v>189.79</v>
      </c>
      <c r="F973" s="5">
        <v>265.52</v>
      </c>
      <c r="G973" s="5">
        <v>298.70999999999998</v>
      </c>
      <c r="H973" s="5">
        <v>339.38</v>
      </c>
    </row>
    <row r="974" spans="1:8" ht="15" customHeight="1" x14ac:dyDescent="0.35">
      <c r="A974" s="1">
        <v>143</v>
      </c>
      <c r="B974" s="5">
        <v>83.79</v>
      </c>
      <c r="C974" s="5">
        <v>107.8</v>
      </c>
      <c r="D974" s="5">
        <v>138.4</v>
      </c>
      <c r="E974" s="5">
        <v>191.13</v>
      </c>
      <c r="F974" s="5">
        <v>267.39</v>
      </c>
      <c r="G974" s="5">
        <v>300.82</v>
      </c>
      <c r="H974" s="5">
        <v>341.77</v>
      </c>
    </row>
    <row r="975" spans="1:8" ht="15" customHeight="1" x14ac:dyDescent="0.35">
      <c r="A975" s="1">
        <v>144</v>
      </c>
      <c r="B975" s="5">
        <v>84.38</v>
      </c>
      <c r="C975" s="5">
        <v>108.56</v>
      </c>
      <c r="D975" s="5">
        <v>139.37</v>
      </c>
      <c r="E975" s="5">
        <v>192.46</v>
      </c>
      <c r="F975" s="5">
        <v>269.26</v>
      </c>
      <c r="G975" s="5">
        <v>302.91000000000003</v>
      </c>
      <c r="H975" s="5">
        <v>344.16</v>
      </c>
    </row>
    <row r="976" spans="1:8" ht="15" customHeight="1" x14ac:dyDescent="0.35">
      <c r="A976" s="1">
        <v>145</v>
      </c>
      <c r="B976" s="5">
        <v>84.97</v>
      </c>
      <c r="C976" s="5">
        <v>109.31</v>
      </c>
      <c r="D976" s="5">
        <v>140.34</v>
      </c>
      <c r="E976" s="5">
        <v>193.8</v>
      </c>
      <c r="F976" s="5">
        <v>271.13</v>
      </c>
      <c r="G976" s="5">
        <v>305.02</v>
      </c>
      <c r="H976" s="5">
        <v>346.55</v>
      </c>
    </row>
    <row r="977" spans="1:8" ht="15" customHeight="1" x14ac:dyDescent="0.35">
      <c r="A977" s="1">
        <v>146</v>
      </c>
      <c r="B977" s="5">
        <v>85.55</v>
      </c>
      <c r="C977" s="5">
        <v>110.06</v>
      </c>
      <c r="D977" s="5">
        <v>141.30000000000001</v>
      </c>
      <c r="E977" s="5">
        <v>195.14</v>
      </c>
      <c r="F977" s="5">
        <v>273</v>
      </c>
      <c r="G977" s="5">
        <v>307.13</v>
      </c>
      <c r="H977" s="5">
        <v>348.93</v>
      </c>
    </row>
    <row r="978" spans="1:8" ht="15" customHeight="1" x14ac:dyDescent="0.35">
      <c r="A978" s="1">
        <v>147</v>
      </c>
      <c r="B978" s="5">
        <v>86.14</v>
      </c>
      <c r="C978" s="5">
        <v>110.82</v>
      </c>
      <c r="D978" s="5">
        <v>142.27000000000001</v>
      </c>
      <c r="E978" s="5">
        <v>196.47</v>
      </c>
      <c r="F978" s="5">
        <v>274.86</v>
      </c>
      <c r="G978" s="5">
        <v>309.22000000000003</v>
      </c>
      <c r="H978" s="5">
        <v>351.33</v>
      </c>
    </row>
    <row r="979" spans="1:8" ht="15" customHeight="1" x14ac:dyDescent="0.35">
      <c r="A979" s="1">
        <v>148</v>
      </c>
      <c r="B979" s="5">
        <v>86.72</v>
      </c>
      <c r="C979" s="5">
        <v>111.57</v>
      </c>
      <c r="D979" s="5">
        <v>143.24</v>
      </c>
      <c r="E979" s="5">
        <v>197.81</v>
      </c>
      <c r="F979" s="5">
        <v>276.74</v>
      </c>
      <c r="G979" s="5">
        <v>311.33</v>
      </c>
      <c r="H979" s="5">
        <v>353.72</v>
      </c>
    </row>
    <row r="980" spans="1:8" ht="15" customHeight="1" x14ac:dyDescent="0.35">
      <c r="A980" s="1">
        <v>149</v>
      </c>
      <c r="B980" s="5">
        <v>87.31</v>
      </c>
      <c r="C980" s="5">
        <v>112.33</v>
      </c>
      <c r="D980" s="5">
        <v>144.21</v>
      </c>
      <c r="E980" s="5">
        <v>199.15</v>
      </c>
      <c r="F980" s="5">
        <v>278.60000000000002</v>
      </c>
      <c r="G980" s="5">
        <v>313.44</v>
      </c>
      <c r="H980" s="5">
        <v>356.11</v>
      </c>
    </row>
    <row r="981" spans="1:8" ht="15" customHeight="1" x14ac:dyDescent="0.35">
      <c r="A981" s="1">
        <v>150</v>
      </c>
      <c r="B981" s="5">
        <v>87.9</v>
      </c>
      <c r="C981" s="5">
        <v>113.08</v>
      </c>
      <c r="D981" s="5">
        <v>145.18</v>
      </c>
      <c r="E981" s="5">
        <v>200.48</v>
      </c>
      <c r="F981" s="5">
        <v>280.48</v>
      </c>
      <c r="G981" s="5">
        <v>315.52999999999997</v>
      </c>
      <c r="H981" s="5">
        <v>358.5</v>
      </c>
    </row>
    <row r="982" spans="1:8" ht="15" customHeight="1" x14ac:dyDescent="0.3">
      <c r="A982" s="1" t="s">
        <v>35</v>
      </c>
    </row>
    <row r="983" spans="1:8" ht="15" customHeight="1" x14ac:dyDescent="0.3">
      <c r="A983" s="1" t="s">
        <v>0</v>
      </c>
    </row>
    <row r="984" spans="1:8" ht="15" customHeight="1" x14ac:dyDescent="0.3">
      <c r="A984" s="1" t="s">
        <v>0</v>
      </c>
    </row>
    <row r="985" spans="1:8" ht="15" customHeight="1" x14ac:dyDescent="0.3">
      <c r="A985" s="1" t="s">
        <v>46</v>
      </c>
      <c r="B985" s="7" t="s">
        <v>25</v>
      </c>
      <c r="C985" s="7"/>
      <c r="D985" s="7"/>
      <c r="E985" s="7"/>
    </row>
    <row r="986" spans="1:8" ht="15" customHeight="1" x14ac:dyDescent="0.3">
      <c r="A986" s="1" t="s">
        <v>36</v>
      </c>
    </row>
    <row r="987" spans="1:8" ht="15" customHeight="1" x14ac:dyDescent="0.3">
      <c r="A987" s="1" t="s">
        <v>0</v>
      </c>
    </row>
    <row r="988" spans="1:8" ht="15" customHeight="1" x14ac:dyDescent="0.3">
      <c r="A988" s="1" t="s">
        <v>32</v>
      </c>
      <c r="B988" s="1" t="s">
        <v>33</v>
      </c>
    </row>
    <row r="989" spans="1:8" ht="15" customHeight="1" x14ac:dyDescent="0.35">
      <c r="A989" s="1" t="s">
        <v>34</v>
      </c>
      <c r="B989" s="2">
        <v>2</v>
      </c>
      <c r="C989" s="2">
        <v>3</v>
      </c>
      <c r="D989" s="2">
        <v>4</v>
      </c>
      <c r="E989" s="2">
        <v>5</v>
      </c>
      <c r="F989" s="2">
        <v>6</v>
      </c>
      <c r="G989" s="2">
        <v>7</v>
      </c>
      <c r="H989" s="2">
        <v>8</v>
      </c>
    </row>
    <row r="990" spans="1:8" ht="15" customHeight="1" x14ac:dyDescent="0.35">
      <c r="A990" s="1" t="s">
        <v>37</v>
      </c>
      <c r="B990" s="5">
        <v>0.57999999999999996</v>
      </c>
      <c r="C990" s="5">
        <v>0.76</v>
      </c>
      <c r="D990" s="5">
        <v>0.97</v>
      </c>
      <c r="E990" s="5">
        <v>1.33</v>
      </c>
      <c r="F990" s="5">
        <v>1.87</v>
      </c>
      <c r="G990" s="5">
        <v>2.11</v>
      </c>
      <c r="H990" s="5">
        <v>2.39</v>
      </c>
    </row>
    <row r="991" spans="1:8" ht="15" customHeight="1" x14ac:dyDescent="0.35">
      <c r="A991" s="1" t="s">
        <v>38</v>
      </c>
      <c r="B991" s="5">
        <v>0.57999999999999996</v>
      </c>
      <c r="C991" s="5">
        <v>0.76</v>
      </c>
      <c r="D991" s="5">
        <v>0.97</v>
      </c>
      <c r="E991" s="5">
        <v>1.33</v>
      </c>
      <c r="F991" s="5">
        <v>1.87</v>
      </c>
      <c r="G991" s="5">
        <v>2.11</v>
      </c>
      <c r="H991" s="5">
        <v>2.39</v>
      </c>
    </row>
    <row r="992" spans="1:8" ht="15" customHeight="1" x14ac:dyDescent="0.35">
      <c r="A992" s="1" t="s">
        <v>39</v>
      </c>
      <c r="B992" s="5">
        <v>0.57999999999999996</v>
      </c>
      <c r="C992" s="5">
        <v>0.76</v>
      </c>
      <c r="D992" s="5">
        <v>0.97</v>
      </c>
      <c r="E992" s="5">
        <v>1.33</v>
      </c>
      <c r="F992" s="5">
        <v>1.87</v>
      </c>
      <c r="G992" s="5">
        <v>2.11</v>
      </c>
      <c r="H992" s="5">
        <v>2.39</v>
      </c>
    </row>
    <row r="993" spans="1:11" ht="15" customHeight="1" x14ac:dyDescent="0.35">
      <c r="A993" s="1" t="s">
        <v>40</v>
      </c>
      <c r="B993" s="5">
        <v>0.57999999999999996</v>
      </c>
      <c r="C993" s="5">
        <v>0.75</v>
      </c>
      <c r="D993" s="5">
        <v>0.96</v>
      </c>
      <c r="E993" s="5">
        <v>1.33</v>
      </c>
      <c r="F993" s="5">
        <v>1.87</v>
      </c>
      <c r="G993" s="5">
        <v>2.1</v>
      </c>
      <c r="H993" s="5">
        <v>2.38</v>
      </c>
    </row>
    <row r="994" spans="1:11" ht="15" customHeight="1" x14ac:dyDescent="0.35">
      <c r="A994" s="1" t="s">
        <v>41</v>
      </c>
      <c r="B994" s="5">
        <v>0.56999999999999995</v>
      </c>
      <c r="C994" s="5">
        <v>0.74</v>
      </c>
      <c r="D994" s="5">
        <v>0.95</v>
      </c>
      <c r="E994" s="5">
        <v>1.33</v>
      </c>
      <c r="F994" s="5">
        <v>1.86</v>
      </c>
      <c r="G994" s="5">
        <v>2.09</v>
      </c>
      <c r="H994" s="5">
        <v>2.38</v>
      </c>
    </row>
    <row r="995" spans="1:11" ht="15" customHeight="1" x14ac:dyDescent="0.35">
      <c r="A995" s="1" t="s">
        <v>42</v>
      </c>
      <c r="B995" s="5">
        <v>0.56999999999999995</v>
      </c>
      <c r="C995" s="5">
        <v>0.73</v>
      </c>
      <c r="D995" s="5">
        <v>0.94</v>
      </c>
      <c r="E995" s="5">
        <v>1.32</v>
      </c>
      <c r="F995" s="5">
        <v>1.85</v>
      </c>
      <c r="G995" s="5">
        <v>2.08</v>
      </c>
      <c r="H995" s="5">
        <v>2.37</v>
      </c>
    </row>
    <row r="997" spans="1:11" ht="15" customHeight="1" x14ac:dyDescent="0.3">
      <c r="A997" s="1" t="s">
        <v>35</v>
      </c>
    </row>
    <row r="1000" spans="1:11" ht="15" customHeight="1" x14ac:dyDescent="0.3">
      <c r="A1000" s="7" t="s">
        <v>0</v>
      </c>
      <c r="B1000" s="7"/>
      <c r="C1000" s="7"/>
      <c r="D1000" s="7"/>
      <c r="E1000" s="7"/>
    </row>
    <row r="1001" spans="1:11" ht="15" customHeight="1" x14ac:dyDescent="0.35">
      <c r="A1001" s="8" t="s">
        <v>47</v>
      </c>
      <c r="B1001" s="8"/>
      <c r="C1001" s="8"/>
      <c r="D1001" s="8"/>
      <c r="E1001" s="8"/>
      <c r="F1001" s="8"/>
      <c r="G1001" s="8"/>
    </row>
    <row r="1003" spans="1:11" ht="15" customHeight="1" x14ac:dyDescent="0.3">
      <c r="A1003" s="7" t="s">
        <v>22</v>
      </c>
      <c r="B1003" s="7"/>
      <c r="C1003" s="7"/>
      <c r="D1003" s="7"/>
      <c r="E1003" s="7"/>
    </row>
    <row r="1007" spans="1:11" ht="15" customHeight="1" x14ac:dyDescent="0.3">
      <c r="A1007" s="7" t="s">
        <v>0</v>
      </c>
      <c r="B1007" s="7"/>
      <c r="C1007" s="7"/>
      <c r="D1007" s="7"/>
      <c r="E1007" s="7"/>
    </row>
    <row r="1008" spans="1:11" ht="15" customHeight="1" x14ac:dyDescent="0.35">
      <c r="A1008" s="8" t="s">
        <v>48</v>
      </c>
      <c r="B1008" s="8"/>
      <c r="C1008" s="8"/>
      <c r="D1008" s="8"/>
      <c r="E1008" s="8"/>
      <c r="F1008" s="8"/>
      <c r="G1008" s="8"/>
      <c r="H1008" s="7" t="s">
        <v>25</v>
      </c>
      <c r="I1008" s="7"/>
      <c r="J1008" s="7"/>
      <c r="K1008" s="7"/>
    </row>
    <row r="1012" spans="1:15" ht="15" customHeight="1" x14ac:dyDescent="0.3">
      <c r="A1012" s="1" t="s">
        <v>26</v>
      </c>
    </row>
    <row r="1013" spans="1:15" ht="15" customHeight="1" x14ac:dyDescent="0.3">
      <c r="A1013" s="1" t="s">
        <v>0</v>
      </c>
    </row>
    <row r="1014" spans="1:15" ht="15" customHeight="1" x14ac:dyDescent="0.3">
      <c r="A1014" s="1" t="s">
        <v>0</v>
      </c>
    </row>
    <row r="1015" spans="1:15" ht="15" customHeight="1" x14ac:dyDescent="0.3">
      <c r="A1015" s="1" t="s">
        <v>27</v>
      </c>
      <c r="B1015" s="1" t="s">
        <v>28</v>
      </c>
    </row>
    <row r="1016" spans="1:15" ht="15" customHeight="1" x14ac:dyDescent="0.35">
      <c r="A1016" s="1" t="s">
        <v>48</v>
      </c>
      <c r="B1016" s="3">
        <v>0.11</v>
      </c>
    </row>
    <row r="1017" spans="1:15" ht="15" customHeight="1" x14ac:dyDescent="0.3">
      <c r="A1017" s="1" t="s">
        <v>0</v>
      </c>
    </row>
    <row r="1018" spans="1:15" ht="15" customHeight="1" x14ac:dyDescent="0.3">
      <c r="A1018" s="1" t="s">
        <v>0</v>
      </c>
    </row>
    <row r="1020" spans="1:15" ht="15" customHeight="1" x14ac:dyDescent="0.3">
      <c r="A1020" s="1" t="s">
        <v>36</v>
      </c>
    </row>
    <row r="1022" spans="1:15" ht="15" customHeight="1" x14ac:dyDescent="0.3">
      <c r="A1022" s="1" t="s">
        <v>0</v>
      </c>
    </row>
    <row r="1023" spans="1:15" ht="15" customHeight="1" x14ac:dyDescent="0.3">
      <c r="A1023" s="1" t="s">
        <v>32</v>
      </c>
      <c r="B1023" s="1" t="s">
        <v>33</v>
      </c>
    </row>
    <row r="1024" spans="1:15" ht="15" customHeight="1" x14ac:dyDescent="0.35">
      <c r="A1024" s="1" t="s">
        <v>34</v>
      </c>
      <c r="B1024" s="2">
        <v>2</v>
      </c>
      <c r="C1024" s="2">
        <v>3</v>
      </c>
      <c r="D1024" s="2">
        <v>4</v>
      </c>
      <c r="E1024" s="2">
        <v>5</v>
      </c>
      <c r="F1024" s="2">
        <v>6</v>
      </c>
      <c r="G1024" s="2">
        <v>7</v>
      </c>
      <c r="H1024" s="2">
        <v>8</v>
      </c>
      <c r="I1024" s="2">
        <v>9</v>
      </c>
      <c r="J1024" s="2">
        <v>10</v>
      </c>
      <c r="K1024" s="2">
        <v>11</v>
      </c>
      <c r="L1024" s="2">
        <v>13</v>
      </c>
      <c r="M1024" s="2">
        <v>14</v>
      </c>
      <c r="N1024" s="2">
        <v>15</v>
      </c>
      <c r="O1024" s="2">
        <v>16</v>
      </c>
    </row>
    <row r="1025" spans="1:15" ht="15" customHeight="1" x14ac:dyDescent="0.35">
      <c r="A1025" s="1" t="s">
        <v>38</v>
      </c>
      <c r="B1025" s="5">
        <v>0.83</v>
      </c>
      <c r="C1025" s="5">
        <v>1.43</v>
      </c>
      <c r="D1025" s="5">
        <v>2.5499999999999998</v>
      </c>
      <c r="E1025" s="5">
        <v>3.6</v>
      </c>
      <c r="F1025" s="5">
        <v>3.69</v>
      </c>
      <c r="G1025" s="5">
        <v>4.67</v>
      </c>
      <c r="H1025" s="5">
        <v>5.12</v>
      </c>
      <c r="I1025" s="5">
        <v>5.88</v>
      </c>
      <c r="J1025" s="5">
        <v>5.88</v>
      </c>
      <c r="K1025" s="5">
        <v>6.15</v>
      </c>
      <c r="L1025" s="5">
        <v>3.73</v>
      </c>
      <c r="M1025" s="5">
        <v>3.73</v>
      </c>
      <c r="N1025" s="5">
        <v>3.73</v>
      </c>
      <c r="O1025" s="5">
        <v>3.73</v>
      </c>
    </row>
    <row r="1026" spans="1:15" ht="15" customHeight="1" x14ac:dyDescent="0.35">
      <c r="A1026" s="1" t="s">
        <v>39</v>
      </c>
      <c r="B1026" s="5">
        <v>0.83</v>
      </c>
      <c r="C1026" s="5">
        <v>1.43</v>
      </c>
      <c r="D1026" s="5">
        <v>2.5499999999999998</v>
      </c>
      <c r="E1026" s="5">
        <v>3.6</v>
      </c>
      <c r="F1026" s="5">
        <v>3.69</v>
      </c>
      <c r="G1026" s="5">
        <v>4.67</v>
      </c>
      <c r="H1026" s="5">
        <v>5.12</v>
      </c>
      <c r="I1026" s="5">
        <v>5.88</v>
      </c>
      <c r="J1026" s="5">
        <v>5.88</v>
      </c>
      <c r="K1026" s="5">
        <v>6.15</v>
      </c>
      <c r="L1026" s="5">
        <v>3.73</v>
      </c>
      <c r="M1026" s="5">
        <v>3.73</v>
      </c>
      <c r="N1026" s="5">
        <v>3.73</v>
      </c>
      <c r="O1026" s="5">
        <v>3.73</v>
      </c>
    </row>
    <row r="1027" spans="1:15" ht="15" customHeight="1" x14ac:dyDescent="0.35">
      <c r="A1027" s="1" t="s">
        <v>40</v>
      </c>
      <c r="B1027" s="5">
        <v>0.8</v>
      </c>
      <c r="C1027" s="5">
        <v>1.35</v>
      </c>
      <c r="D1027" s="5">
        <v>2.3199999999999998</v>
      </c>
      <c r="E1027" s="5">
        <v>3.34</v>
      </c>
      <c r="F1027" s="5">
        <v>3.42</v>
      </c>
      <c r="G1027" s="5">
        <v>4.66</v>
      </c>
      <c r="H1027" s="5">
        <v>5.07</v>
      </c>
      <c r="I1027" s="5">
        <v>5.69</v>
      </c>
      <c r="J1027" s="5">
        <v>5.69</v>
      </c>
      <c r="K1027" s="5">
        <v>5.96</v>
      </c>
      <c r="L1027" s="5">
        <v>3.72</v>
      </c>
      <c r="M1027" s="5">
        <v>3.72</v>
      </c>
      <c r="N1027" s="5">
        <v>3.72</v>
      </c>
      <c r="O1027" s="5">
        <v>3.72</v>
      </c>
    </row>
    <row r="1028" spans="1:15" ht="15" customHeight="1" x14ac:dyDescent="0.35">
      <c r="A1028" s="1" t="s">
        <v>41</v>
      </c>
      <c r="B1028" s="5">
        <v>0.75</v>
      </c>
      <c r="C1028" s="5">
        <v>1.34</v>
      </c>
      <c r="D1028" s="5">
        <v>2.06</v>
      </c>
      <c r="E1028" s="5">
        <v>3.27</v>
      </c>
      <c r="F1028" s="5">
        <v>3.34</v>
      </c>
      <c r="G1028" s="5">
        <v>4.6399999999999997</v>
      </c>
      <c r="H1028" s="5">
        <v>5.01</v>
      </c>
      <c r="I1028" s="5">
        <v>5.47</v>
      </c>
      <c r="J1028" s="5">
        <v>5.47</v>
      </c>
      <c r="K1028" s="5">
        <v>5.92</v>
      </c>
      <c r="L1028" s="5">
        <v>3.7</v>
      </c>
      <c r="M1028" s="5">
        <v>3.7</v>
      </c>
      <c r="N1028" s="5">
        <v>3.7</v>
      </c>
      <c r="O1028" s="5">
        <v>3.7</v>
      </c>
    </row>
    <row r="1029" spans="1:15" ht="15" customHeight="1" x14ac:dyDescent="0.35">
      <c r="A1029" s="1" t="s">
        <v>49</v>
      </c>
      <c r="B1029" s="5">
        <v>0.68</v>
      </c>
      <c r="C1029" s="5">
        <v>1.21</v>
      </c>
      <c r="D1029" s="5">
        <v>1.67</v>
      </c>
      <c r="E1029" s="5">
        <v>2.73</v>
      </c>
      <c r="F1029" s="5">
        <v>3.04</v>
      </c>
      <c r="G1029" s="5">
        <v>4.1399999999999997</v>
      </c>
      <c r="H1029" s="5">
        <v>4.28</v>
      </c>
      <c r="I1029" s="5">
        <v>5.1100000000000003</v>
      </c>
      <c r="J1029" s="5">
        <v>5.1100000000000003</v>
      </c>
      <c r="K1029" s="5">
        <v>5.52</v>
      </c>
      <c r="L1029" s="5">
        <v>3.69</v>
      </c>
      <c r="M1029" s="5">
        <v>3.69</v>
      </c>
      <c r="N1029" s="5">
        <v>3.69</v>
      </c>
      <c r="O1029" s="5">
        <v>3.69</v>
      </c>
    </row>
    <row r="1030" spans="1:15" ht="15" customHeight="1" x14ac:dyDescent="0.35">
      <c r="A1030" s="1" t="s">
        <v>50</v>
      </c>
      <c r="B1030" s="5">
        <v>0.68</v>
      </c>
      <c r="C1030" s="5">
        <v>1.21</v>
      </c>
      <c r="D1030" s="5">
        <v>1.67</v>
      </c>
      <c r="E1030" s="5">
        <v>2.73</v>
      </c>
      <c r="F1030" s="5">
        <v>3.04</v>
      </c>
      <c r="G1030" s="5">
        <v>4.1399999999999997</v>
      </c>
      <c r="H1030" s="5">
        <v>4.28</v>
      </c>
      <c r="I1030" s="5">
        <v>5.1100000000000003</v>
      </c>
      <c r="J1030" s="5">
        <v>5.1100000000000003</v>
      </c>
      <c r="K1030" s="5">
        <v>5.52</v>
      </c>
      <c r="L1030" s="5">
        <v>3.69</v>
      </c>
      <c r="M1030" s="5">
        <v>3.69</v>
      </c>
      <c r="N1030" s="5">
        <v>3.69</v>
      </c>
      <c r="O1030" s="5">
        <v>3.69</v>
      </c>
    </row>
    <row r="1034" spans="1:15" ht="15" customHeight="1" x14ac:dyDescent="0.3">
      <c r="A1034" s="7" t="s">
        <v>0</v>
      </c>
      <c r="B1034" s="7"/>
      <c r="C1034" s="7"/>
      <c r="D1034" s="7"/>
      <c r="E1034" s="7"/>
    </row>
    <row r="1035" spans="1:15" ht="15" customHeight="1" x14ac:dyDescent="0.35">
      <c r="A1035" s="8" t="s">
        <v>51</v>
      </c>
      <c r="B1035" s="8"/>
      <c r="C1035" s="8"/>
      <c r="D1035" s="8"/>
      <c r="E1035" s="8"/>
      <c r="F1035" s="8"/>
      <c r="G1035" s="8"/>
      <c r="H1035" s="7" t="s">
        <v>25</v>
      </c>
      <c r="I1035" s="7"/>
      <c r="J1035" s="7"/>
      <c r="K1035" s="7"/>
    </row>
    <row r="1039" spans="1:15" ht="15" customHeight="1" x14ac:dyDescent="0.3">
      <c r="A1039" s="1" t="s">
        <v>26</v>
      </c>
    </row>
    <row r="1040" spans="1:15" ht="15" customHeight="1" x14ac:dyDescent="0.3">
      <c r="A1040" s="1" t="s">
        <v>0</v>
      </c>
    </row>
    <row r="1041" spans="1:15" ht="15" customHeight="1" x14ac:dyDescent="0.3">
      <c r="A1041" s="1" t="s">
        <v>0</v>
      </c>
    </row>
    <row r="1042" spans="1:15" ht="15" customHeight="1" x14ac:dyDescent="0.3">
      <c r="A1042" s="1" t="s">
        <v>27</v>
      </c>
      <c r="B1042" s="1" t="s">
        <v>28</v>
      </c>
    </row>
    <row r="1043" spans="1:15" ht="15" customHeight="1" x14ac:dyDescent="0.35">
      <c r="A1043" s="1" t="s">
        <v>51</v>
      </c>
      <c r="B1043" s="3">
        <v>0.11</v>
      </c>
    </row>
    <row r="1044" spans="1:15" ht="15" customHeight="1" x14ac:dyDescent="0.3">
      <c r="A1044" s="1" t="s">
        <v>0</v>
      </c>
    </row>
    <row r="1045" spans="1:15" ht="15" customHeight="1" x14ac:dyDescent="0.3">
      <c r="A1045" s="1" t="s">
        <v>0</v>
      </c>
    </row>
    <row r="1047" spans="1:15" ht="15" customHeight="1" x14ac:dyDescent="0.3">
      <c r="A1047" s="1" t="s">
        <v>36</v>
      </c>
    </row>
    <row r="1049" spans="1:15" ht="15" customHeight="1" x14ac:dyDescent="0.3">
      <c r="A1049" s="1" t="s">
        <v>0</v>
      </c>
    </row>
    <row r="1050" spans="1:15" ht="15" customHeight="1" x14ac:dyDescent="0.3">
      <c r="A1050" s="1" t="s">
        <v>32</v>
      </c>
      <c r="B1050" s="1" t="s">
        <v>33</v>
      </c>
    </row>
    <row r="1051" spans="1:15" ht="15" customHeight="1" x14ac:dyDescent="0.35">
      <c r="A1051" s="1" t="s">
        <v>34</v>
      </c>
      <c r="B1051" s="2">
        <v>2</v>
      </c>
      <c r="C1051" s="2">
        <v>3</v>
      </c>
      <c r="D1051" s="2">
        <v>4</v>
      </c>
      <c r="E1051" s="2">
        <v>5</v>
      </c>
      <c r="F1051" s="2">
        <v>6</v>
      </c>
      <c r="G1051" s="2">
        <v>7</v>
      </c>
      <c r="H1051" s="2">
        <v>8</v>
      </c>
      <c r="I1051" s="2">
        <v>9</v>
      </c>
      <c r="J1051" s="2">
        <v>10</v>
      </c>
      <c r="K1051" s="2">
        <v>11</v>
      </c>
      <c r="L1051" s="2">
        <v>13</v>
      </c>
      <c r="M1051" s="2">
        <v>14</v>
      </c>
      <c r="N1051" s="2">
        <v>15</v>
      </c>
      <c r="O1051" s="2">
        <v>16</v>
      </c>
    </row>
    <row r="1052" spans="1:15" ht="15" customHeight="1" x14ac:dyDescent="0.35">
      <c r="A1052" s="1" t="s">
        <v>38</v>
      </c>
      <c r="B1052" s="5">
        <v>0.78</v>
      </c>
      <c r="C1052" s="5">
        <v>1.29</v>
      </c>
      <c r="D1052" s="5">
        <v>1.73</v>
      </c>
      <c r="E1052" s="5">
        <v>1.8</v>
      </c>
      <c r="F1052" s="5">
        <v>2.67</v>
      </c>
      <c r="G1052" s="5">
        <v>3.68</v>
      </c>
      <c r="H1052" s="5">
        <v>4.24</v>
      </c>
      <c r="I1052" s="5">
        <v>4.9000000000000004</v>
      </c>
      <c r="J1052" s="5">
        <v>4.9000000000000004</v>
      </c>
      <c r="K1052" s="5">
        <v>5.25</v>
      </c>
      <c r="L1052" s="5">
        <v>2.15</v>
      </c>
      <c r="M1052" s="5">
        <v>2.15</v>
      </c>
      <c r="N1052" s="5">
        <v>2.15</v>
      </c>
      <c r="O1052" s="5">
        <v>2.15</v>
      </c>
    </row>
    <row r="1053" spans="1:15" ht="15" customHeight="1" x14ac:dyDescent="0.35">
      <c r="A1053" s="1" t="s">
        <v>39</v>
      </c>
      <c r="B1053" s="5">
        <v>0.78</v>
      </c>
      <c r="C1053" s="5">
        <v>1.29</v>
      </c>
      <c r="D1053" s="5">
        <v>1.73</v>
      </c>
      <c r="E1053" s="5">
        <v>1.8</v>
      </c>
      <c r="F1053" s="5">
        <v>2.67</v>
      </c>
      <c r="G1053" s="5">
        <v>3.68</v>
      </c>
      <c r="H1053" s="5">
        <v>4.24</v>
      </c>
      <c r="I1053" s="5">
        <v>4.9000000000000004</v>
      </c>
      <c r="J1053" s="5">
        <v>4.9000000000000004</v>
      </c>
      <c r="K1053" s="5">
        <v>5.25</v>
      </c>
      <c r="L1053" s="5">
        <v>2.15</v>
      </c>
      <c r="M1053" s="5">
        <v>2.15</v>
      </c>
      <c r="N1053" s="5">
        <v>2.15</v>
      </c>
      <c r="O1053" s="5">
        <v>2.15</v>
      </c>
    </row>
    <row r="1054" spans="1:15" ht="15" customHeight="1" x14ac:dyDescent="0.35">
      <c r="A1054" s="1" t="s">
        <v>40</v>
      </c>
      <c r="B1054" s="5">
        <v>0.74</v>
      </c>
      <c r="C1054" s="5">
        <v>1.27</v>
      </c>
      <c r="D1054" s="5">
        <v>1.7</v>
      </c>
      <c r="E1054" s="5">
        <v>1.79</v>
      </c>
      <c r="F1054" s="5">
        <v>2.66</v>
      </c>
      <c r="G1054" s="5">
        <v>3.6</v>
      </c>
      <c r="H1054" s="5">
        <v>4.04</v>
      </c>
      <c r="I1054" s="5">
        <v>4.84</v>
      </c>
      <c r="J1054" s="5">
        <v>4.84</v>
      </c>
      <c r="K1054" s="5">
        <v>5.15</v>
      </c>
      <c r="L1054" s="5">
        <v>2.11</v>
      </c>
      <c r="M1054" s="5">
        <v>2.11</v>
      </c>
      <c r="N1054" s="5">
        <v>2.11</v>
      </c>
      <c r="O1054" s="5">
        <v>2.11</v>
      </c>
    </row>
    <row r="1055" spans="1:15" ht="15" customHeight="1" x14ac:dyDescent="0.35">
      <c r="A1055" s="1" t="s">
        <v>41</v>
      </c>
      <c r="B1055" s="5">
        <v>0.72</v>
      </c>
      <c r="C1055" s="5">
        <v>1.27</v>
      </c>
      <c r="D1055" s="5">
        <v>1.63</v>
      </c>
      <c r="E1055" s="5">
        <v>1.77</v>
      </c>
      <c r="F1055" s="5">
        <v>2.63</v>
      </c>
      <c r="G1055" s="5">
        <v>3.57</v>
      </c>
      <c r="H1055" s="5">
        <v>3.92</v>
      </c>
      <c r="I1055" s="5">
        <v>4.59</v>
      </c>
      <c r="J1055" s="5">
        <v>4.59</v>
      </c>
      <c r="K1055" s="5">
        <v>5.0599999999999996</v>
      </c>
      <c r="L1055" s="5">
        <v>2.06</v>
      </c>
      <c r="M1055" s="5">
        <v>2.06</v>
      </c>
      <c r="N1055" s="5">
        <v>2.06</v>
      </c>
      <c r="O1055" s="5">
        <v>2.06</v>
      </c>
    </row>
    <row r="1056" spans="1:15" ht="15" customHeight="1" x14ac:dyDescent="0.35">
      <c r="A1056" s="1" t="s">
        <v>49</v>
      </c>
      <c r="B1056" s="5">
        <v>0.66</v>
      </c>
      <c r="C1056" s="5">
        <v>1.19</v>
      </c>
      <c r="D1056" s="5">
        <v>1.58</v>
      </c>
      <c r="E1056" s="5">
        <v>1.65</v>
      </c>
      <c r="F1056" s="5">
        <v>2.37</v>
      </c>
      <c r="G1056" s="5">
        <v>3.11</v>
      </c>
      <c r="H1056" s="5">
        <v>3.49</v>
      </c>
      <c r="I1056" s="5">
        <v>4.17</v>
      </c>
      <c r="J1056" s="5">
        <v>4.17</v>
      </c>
      <c r="K1056" s="5">
        <v>4.71</v>
      </c>
      <c r="L1056" s="5">
        <v>2.04</v>
      </c>
      <c r="M1056" s="5">
        <v>2.04</v>
      </c>
      <c r="N1056" s="5">
        <v>2.04</v>
      </c>
      <c r="O1056" s="5">
        <v>2.04</v>
      </c>
    </row>
    <row r="1057" spans="1:15" ht="15" customHeight="1" x14ac:dyDescent="0.35">
      <c r="A1057" s="1" t="s">
        <v>50</v>
      </c>
      <c r="B1057" s="5">
        <v>0.66</v>
      </c>
      <c r="C1057" s="5">
        <v>1.19</v>
      </c>
      <c r="D1057" s="5">
        <v>1.58</v>
      </c>
      <c r="E1057" s="5">
        <v>1.65</v>
      </c>
      <c r="F1057" s="5">
        <v>2.37</v>
      </c>
      <c r="G1057" s="5">
        <v>3.11</v>
      </c>
      <c r="H1057" s="5">
        <v>3.49</v>
      </c>
      <c r="I1057" s="5">
        <v>4.17</v>
      </c>
      <c r="J1057" s="5">
        <v>4.17</v>
      </c>
      <c r="K1057" s="5">
        <v>4.71</v>
      </c>
      <c r="L1057" s="5">
        <v>2.04</v>
      </c>
      <c r="M1057" s="5">
        <v>2.04</v>
      </c>
      <c r="N1057" s="5">
        <v>2.04</v>
      </c>
      <c r="O1057" s="5">
        <v>2.04</v>
      </c>
    </row>
    <row r="1061" spans="1:15" ht="15" customHeight="1" x14ac:dyDescent="0.3">
      <c r="A1061" s="7" t="s">
        <v>0</v>
      </c>
      <c r="B1061" s="7"/>
      <c r="C1061" s="7"/>
      <c r="D1061" s="7"/>
      <c r="E1061" s="7"/>
    </row>
    <row r="1062" spans="1:15" ht="15" customHeight="1" x14ac:dyDescent="0.35">
      <c r="A1062" s="8" t="s">
        <v>52</v>
      </c>
      <c r="B1062" s="8"/>
      <c r="C1062" s="8"/>
      <c r="D1062" s="8"/>
      <c r="E1062" s="8"/>
      <c r="F1062" s="8"/>
      <c r="G1062" s="8"/>
      <c r="H1062" s="7" t="s">
        <v>25</v>
      </c>
      <c r="I1062" s="7"/>
      <c r="J1062" s="7"/>
      <c r="K1062" s="7"/>
    </row>
    <row r="1066" spans="1:15" ht="15" customHeight="1" x14ac:dyDescent="0.3">
      <c r="A1066" s="1" t="s">
        <v>26</v>
      </c>
    </row>
    <row r="1067" spans="1:15" ht="15" customHeight="1" x14ac:dyDescent="0.3">
      <c r="A1067" s="1" t="s">
        <v>0</v>
      </c>
    </row>
    <row r="1068" spans="1:15" ht="15" customHeight="1" x14ac:dyDescent="0.3">
      <c r="A1068" s="1" t="s">
        <v>0</v>
      </c>
    </row>
    <row r="1069" spans="1:15" ht="15" customHeight="1" x14ac:dyDescent="0.3">
      <c r="A1069" s="1" t="s">
        <v>27</v>
      </c>
      <c r="B1069" s="1" t="s">
        <v>28</v>
      </c>
    </row>
    <row r="1070" spans="1:15" ht="15" customHeight="1" x14ac:dyDescent="0.35">
      <c r="A1070" s="1" t="s">
        <v>52</v>
      </c>
      <c r="B1070" s="3">
        <v>0.11</v>
      </c>
    </row>
    <row r="1071" spans="1:15" ht="15" customHeight="1" x14ac:dyDescent="0.3">
      <c r="A1071" s="1" t="s">
        <v>0</v>
      </c>
    </row>
    <row r="1072" spans="1:15" ht="15" customHeight="1" x14ac:dyDescent="0.3">
      <c r="A1072" s="1" t="s">
        <v>0</v>
      </c>
    </row>
    <row r="1074" spans="1:8" ht="15" customHeight="1" x14ac:dyDescent="0.3">
      <c r="A1074" s="1" t="s">
        <v>36</v>
      </c>
    </row>
    <row r="1076" spans="1:8" ht="15" customHeight="1" x14ac:dyDescent="0.3">
      <c r="A1076" s="1" t="s">
        <v>0</v>
      </c>
    </row>
    <row r="1077" spans="1:8" ht="15" customHeight="1" x14ac:dyDescent="0.3">
      <c r="A1077" s="1" t="s">
        <v>32</v>
      </c>
      <c r="B1077" s="1" t="s">
        <v>33</v>
      </c>
    </row>
    <row r="1078" spans="1:8" ht="15" customHeight="1" x14ac:dyDescent="0.35">
      <c r="A1078" s="1" t="s">
        <v>34</v>
      </c>
      <c r="B1078" s="2">
        <v>2</v>
      </c>
      <c r="C1078" s="2">
        <v>3</v>
      </c>
      <c r="D1078" s="2">
        <v>4</v>
      </c>
      <c r="E1078" s="2">
        <v>5</v>
      </c>
      <c r="F1078" s="2">
        <v>6</v>
      </c>
      <c r="G1078" s="2">
        <v>7</v>
      </c>
      <c r="H1078" s="2">
        <v>8</v>
      </c>
    </row>
    <row r="1079" spans="1:8" ht="15" customHeight="1" x14ac:dyDescent="0.35">
      <c r="A1079" s="1" t="s">
        <v>38</v>
      </c>
      <c r="B1079" s="5">
        <v>0.74</v>
      </c>
      <c r="C1079" s="5">
        <v>1.24</v>
      </c>
      <c r="D1079" s="5">
        <v>1.64</v>
      </c>
      <c r="E1079" s="5">
        <v>1.7</v>
      </c>
      <c r="F1079" s="5">
        <v>2.56</v>
      </c>
      <c r="G1079" s="5">
        <v>3.33</v>
      </c>
      <c r="H1079" s="5">
        <v>3.86</v>
      </c>
    </row>
    <row r="1080" spans="1:8" ht="15" customHeight="1" x14ac:dyDescent="0.35">
      <c r="A1080" s="1" t="s">
        <v>39</v>
      </c>
      <c r="B1080" s="5">
        <v>0.74</v>
      </c>
      <c r="C1080" s="5">
        <v>1.24</v>
      </c>
      <c r="D1080" s="5">
        <v>1.64</v>
      </c>
      <c r="E1080" s="5">
        <v>1.7</v>
      </c>
      <c r="F1080" s="5">
        <v>2.56</v>
      </c>
      <c r="G1080" s="5">
        <v>3.33</v>
      </c>
      <c r="H1080" s="5">
        <v>3.86</v>
      </c>
    </row>
    <row r="1081" spans="1:8" ht="15" customHeight="1" x14ac:dyDescent="0.35">
      <c r="A1081" s="1" t="s">
        <v>40</v>
      </c>
      <c r="B1081" s="5">
        <v>0.72</v>
      </c>
      <c r="C1081" s="5">
        <v>1.23</v>
      </c>
      <c r="D1081" s="5">
        <v>1.62</v>
      </c>
      <c r="E1081" s="5">
        <v>1.7</v>
      </c>
      <c r="F1081" s="5">
        <v>2.4900000000000002</v>
      </c>
      <c r="G1081" s="5">
        <v>3.28</v>
      </c>
      <c r="H1081" s="5">
        <v>3.85</v>
      </c>
    </row>
    <row r="1082" spans="1:8" ht="15" customHeight="1" x14ac:dyDescent="0.35">
      <c r="A1082" s="1" t="s">
        <v>41</v>
      </c>
      <c r="B1082" s="5">
        <v>0.7</v>
      </c>
      <c r="C1082" s="5">
        <v>1.22</v>
      </c>
      <c r="D1082" s="5">
        <v>1.55</v>
      </c>
      <c r="E1082" s="5">
        <v>1.68</v>
      </c>
      <c r="F1082" s="5">
        <v>2.31</v>
      </c>
      <c r="G1082" s="5">
        <v>3.1</v>
      </c>
      <c r="H1082" s="5">
        <v>3.78</v>
      </c>
    </row>
    <row r="1083" spans="1:8" ht="15" customHeight="1" x14ac:dyDescent="0.35">
      <c r="A1083" s="1" t="s">
        <v>49</v>
      </c>
      <c r="B1083" s="5">
        <v>0.63</v>
      </c>
      <c r="C1083" s="5">
        <v>1.1299999999999999</v>
      </c>
      <c r="D1083" s="5">
        <v>1.39</v>
      </c>
      <c r="E1083" s="5">
        <v>1.58</v>
      </c>
      <c r="F1083" s="5">
        <v>2.15</v>
      </c>
      <c r="G1083" s="5">
        <v>3.01</v>
      </c>
      <c r="H1083" s="5">
        <v>3.45</v>
      </c>
    </row>
    <row r="1084" spans="1:8" ht="15" customHeight="1" x14ac:dyDescent="0.35">
      <c r="A1084" s="1" t="s">
        <v>50</v>
      </c>
      <c r="B1084" s="5">
        <v>0.63</v>
      </c>
      <c r="C1084" s="5">
        <v>1.1299999999999999</v>
      </c>
      <c r="D1084" s="5">
        <v>1.39</v>
      </c>
      <c r="E1084" s="5">
        <v>1.58</v>
      </c>
      <c r="F1084" s="5">
        <v>2.15</v>
      </c>
      <c r="G1084" s="5">
        <v>3.01</v>
      </c>
      <c r="H1084" s="5">
        <v>3.45</v>
      </c>
    </row>
    <row r="1088" spans="1:8" ht="15" customHeight="1" x14ac:dyDescent="0.3">
      <c r="B1088" s="9" t="s">
        <v>53</v>
      </c>
      <c r="C1088" s="9"/>
      <c r="D1088" s="9"/>
      <c r="E1088" s="9"/>
    </row>
    <row r="1090" spans="1:11" ht="15" customHeight="1" x14ac:dyDescent="0.35">
      <c r="A1090" s="8" t="s">
        <v>17</v>
      </c>
      <c r="B1090" s="8"/>
      <c r="C1090" s="8"/>
      <c r="D1090" s="8"/>
      <c r="E1090" s="8" t="s">
        <v>18</v>
      </c>
      <c r="F1090" s="8"/>
      <c r="G1090" s="7">
        <v>488838028</v>
      </c>
      <c r="H1090" s="7"/>
    </row>
    <row r="1091" spans="1:11" ht="15" customHeight="1" x14ac:dyDescent="0.3">
      <c r="A1091" s="7" t="s">
        <v>3</v>
      </c>
      <c r="B1091" s="7"/>
      <c r="C1091" s="7"/>
      <c r="D1091" s="7"/>
    </row>
    <row r="1092" spans="1:11" ht="15" customHeight="1" x14ac:dyDescent="0.3">
      <c r="A1092" s="7" t="s">
        <v>0</v>
      </c>
      <c r="B1092" s="7"/>
      <c r="C1092" s="7"/>
      <c r="D1092" s="7"/>
    </row>
    <row r="1093" spans="1:11" ht="15" customHeight="1" x14ac:dyDescent="0.3">
      <c r="A1093" s="7" t="s">
        <v>0</v>
      </c>
      <c r="B1093" s="7"/>
      <c r="C1093" s="7"/>
      <c r="D1093" s="7"/>
    </row>
    <row r="1094" spans="1:11" ht="15" customHeight="1" x14ac:dyDescent="0.3">
      <c r="A1094" s="7" t="s">
        <v>0</v>
      </c>
      <c r="B1094" s="7"/>
      <c r="C1094" s="7"/>
      <c r="D1094" s="7"/>
    </row>
    <row r="1096" spans="1:11" ht="15" customHeight="1" x14ac:dyDescent="0.35">
      <c r="B1096" s="8" t="s">
        <v>54</v>
      </c>
      <c r="C1096" s="8"/>
      <c r="D1096" s="8"/>
      <c r="E1096" s="8"/>
    </row>
    <row r="1098" spans="1:11" ht="15" customHeight="1" x14ac:dyDescent="0.3">
      <c r="B1098" s="1" t="s">
        <v>55</v>
      </c>
    </row>
    <row r="1099" spans="1:11" ht="15" customHeight="1" x14ac:dyDescent="0.3">
      <c r="B1099" s="1" t="s">
        <v>56</v>
      </c>
    </row>
    <row r="1101" spans="1:11" ht="15" customHeight="1" x14ac:dyDescent="0.35">
      <c r="A1101" s="8" t="s">
        <v>57</v>
      </c>
      <c r="B1101" s="8"/>
      <c r="C1101" s="8"/>
      <c r="D1101" s="8"/>
    </row>
    <row r="1102" spans="1:11" ht="15" customHeight="1" x14ac:dyDescent="0.3">
      <c r="A1102" s="7" t="s">
        <v>0</v>
      </c>
      <c r="B1102" s="7"/>
      <c r="C1102" s="7"/>
      <c r="D1102" s="7"/>
      <c r="E1102" s="7"/>
    </row>
    <row r="1103" spans="1:11" ht="15" customHeight="1" x14ac:dyDescent="0.35">
      <c r="A1103" s="8" t="s">
        <v>58</v>
      </c>
      <c r="B1103" s="8"/>
      <c r="C1103" s="8"/>
      <c r="D1103" s="8"/>
      <c r="E1103" s="8"/>
      <c r="F1103" s="8"/>
      <c r="G1103" s="8"/>
      <c r="H1103" s="7" t="s">
        <v>25</v>
      </c>
      <c r="I1103" s="7"/>
      <c r="J1103" s="7"/>
      <c r="K1103" s="7"/>
    </row>
    <row r="1107" spans="1:16" ht="15" customHeight="1" x14ac:dyDescent="0.3">
      <c r="A1107" s="1" t="s">
        <v>26</v>
      </c>
    </row>
    <row r="1108" spans="1:16" ht="15" customHeight="1" x14ac:dyDescent="0.3">
      <c r="A1108" s="1" t="s">
        <v>0</v>
      </c>
    </row>
    <row r="1109" spans="1:16" ht="15" customHeight="1" x14ac:dyDescent="0.3">
      <c r="A1109" s="1" t="s">
        <v>0</v>
      </c>
    </row>
    <row r="1110" spans="1:16" ht="15" customHeight="1" x14ac:dyDescent="0.3">
      <c r="A1110" s="1" t="s">
        <v>27</v>
      </c>
      <c r="B1110" s="1" t="s">
        <v>28</v>
      </c>
    </row>
    <row r="1111" spans="1:16" ht="15" customHeight="1" x14ac:dyDescent="0.35">
      <c r="A1111" s="1" t="s">
        <v>59</v>
      </c>
      <c r="B1111" s="3">
        <v>0.18</v>
      </c>
    </row>
    <row r="1113" spans="1:16" ht="15" customHeight="1" x14ac:dyDescent="0.3">
      <c r="A1113" s="1" t="s">
        <v>60</v>
      </c>
    </row>
    <row r="1114" spans="1:16" ht="15" customHeight="1" x14ac:dyDescent="0.3">
      <c r="A1114" s="1" t="s">
        <v>61</v>
      </c>
      <c r="B1114" s="1" t="s">
        <v>62</v>
      </c>
    </row>
    <row r="1115" spans="1:16" ht="15" customHeight="1" x14ac:dyDescent="0.3">
      <c r="A1115" s="1" t="s">
        <v>0</v>
      </c>
    </row>
    <row r="1116" spans="1:16" ht="15" customHeight="1" x14ac:dyDescent="0.35">
      <c r="A1116" s="2" t="s">
        <v>32</v>
      </c>
      <c r="B1116" s="8" t="s">
        <v>33</v>
      </c>
      <c r="C1116" s="8"/>
    </row>
    <row r="1117" spans="1:16" ht="15" customHeight="1" x14ac:dyDescent="0.35">
      <c r="A1117" s="2" t="s">
        <v>34</v>
      </c>
      <c r="B1117" s="2">
        <v>2</v>
      </c>
      <c r="C1117" s="2">
        <v>3</v>
      </c>
      <c r="D1117" s="2">
        <v>4</v>
      </c>
      <c r="E1117" s="2">
        <v>5</v>
      </c>
      <c r="F1117" s="2">
        <v>6</v>
      </c>
      <c r="G1117" s="2">
        <v>7</v>
      </c>
      <c r="H1117" s="2">
        <v>8</v>
      </c>
      <c r="I1117" s="2">
        <v>9</v>
      </c>
      <c r="J1117" s="2">
        <v>14</v>
      </c>
      <c r="K1117" s="2">
        <v>17</v>
      </c>
      <c r="L1117" s="2">
        <v>22</v>
      </c>
      <c r="M1117" s="2">
        <v>23</v>
      </c>
      <c r="N1117" s="2">
        <v>25</v>
      </c>
      <c r="O1117" s="2">
        <v>92</v>
      </c>
      <c r="P1117" s="2">
        <v>96</v>
      </c>
    </row>
    <row r="1118" spans="1:16" ht="15" customHeight="1" x14ac:dyDescent="0.3">
      <c r="A1118" s="1" t="s">
        <v>0</v>
      </c>
    </row>
    <row r="1119" spans="1:16" ht="15" customHeight="1" x14ac:dyDescent="0.35">
      <c r="A1119" s="1">
        <v>1</v>
      </c>
      <c r="B1119" s="4">
        <v>6.13</v>
      </c>
      <c r="C1119" s="4">
        <v>6.13</v>
      </c>
      <c r="D1119" s="4">
        <v>6.13</v>
      </c>
      <c r="E1119" s="4">
        <v>6.13</v>
      </c>
      <c r="F1119" s="4">
        <v>6.13</v>
      </c>
      <c r="G1119" s="4">
        <v>6.13</v>
      </c>
      <c r="H1119" s="4">
        <v>6.13</v>
      </c>
      <c r="I1119" s="4">
        <v>39.380000000000003</v>
      </c>
      <c r="J1119" s="4">
        <v>8.9600000000000009</v>
      </c>
      <c r="K1119" s="4">
        <v>39.380000000000003</v>
      </c>
      <c r="L1119" s="4">
        <v>9.19</v>
      </c>
      <c r="M1119" s="4">
        <v>13.71</v>
      </c>
      <c r="N1119" s="4">
        <v>14.15</v>
      </c>
      <c r="O1119" s="4">
        <v>13.71</v>
      </c>
      <c r="P1119" s="4">
        <v>14.15</v>
      </c>
    </row>
    <row r="1120" spans="1:16" ht="15" customHeight="1" x14ac:dyDescent="0.35">
      <c r="A1120" s="1">
        <v>2</v>
      </c>
      <c r="B1120" s="4">
        <v>6.13</v>
      </c>
      <c r="C1120" s="4">
        <v>6.13</v>
      </c>
      <c r="D1120" s="4">
        <v>6.13</v>
      </c>
      <c r="E1120" s="4">
        <v>6.13</v>
      </c>
      <c r="F1120" s="4">
        <v>6.13</v>
      </c>
      <c r="G1120" s="5">
        <v>6.29</v>
      </c>
      <c r="H1120" s="5">
        <v>6.4</v>
      </c>
      <c r="I1120" s="4">
        <v>39.380000000000003</v>
      </c>
      <c r="J1120" s="4">
        <v>8.9600000000000009</v>
      </c>
      <c r="K1120" s="4">
        <v>39.380000000000003</v>
      </c>
      <c r="L1120" s="4">
        <v>9.19</v>
      </c>
      <c r="M1120" s="4">
        <v>13.71</v>
      </c>
      <c r="N1120" s="4">
        <v>14.15</v>
      </c>
      <c r="O1120" s="4">
        <v>13.71</v>
      </c>
      <c r="P1120" s="4">
        <v>14.15</v>
      </c>
    </row>
    <row r="1121" spans="1:16" ht="15" customHeight="1" x14ac:dyDescent="0.35">
      <c r="A1121" s="1">
        <v>3</v>
      </c>
      <c r="B1121" s="4">
        <v>6.13</v>
      </c>
      <c r="C1121" s="4">
        <v>6.13</v>
      </c>
      <c r="D1121" s="4">
        <v>6.13</v>
      </c>
      <c r="E1121" s="5">
        <v>6.21</v>
      </c>
      <c r="F1121" s="5">
        <v>6.47</v>
      </c>
      <c r="G1121" s="5">
        <v>6.71</v>
      </c>
      <c r="H1121" s="5">
        <v>7.04</v>
      </c>
      <c r="I1121" s="4">
        <v>39.380000000000003</v>
      </c>
      <c r="J1121" s="4">
        <v>8.9600000000000009</v>
      </c>
      <c r="K1121" s="4">
        <v>39.380000000000003</v>
      </c>
      <c r="L1121" s="4">
        <v>9.19</v>
      </c>
      <c r="M1121" s="4">
        <v>13.71</v>
      </c>
      <c r="N1121" s="4">
        <v>14.15</v>
      </c>
      <c r="O1121" s="4">
        <v>13.71</v>
      </c>
      <c r="P1121" s="4">
        <v>14.15</v>
      </c>
    </row>
    <row r="1122" spans="1:16" ht="15" customHeight="1" x14ac:dyDescent="0.35">
      <c r="A1122" s="1">
        <v>4</v>
      </c>
      <c r="B1122" s="4">
        <v>6.13</v>
      </c>
      <c r="C1122" s="4">
        <v>6.13</v>
      </c>
      <c r="D1122" s="5">
        <v>6.15</v>
      </c>
      <c r="E1122" s="5">
        <v>6.56</v>
      </c>
      <c r="F1122" s="5">
        <v>6.74</v>
      </c>
      <c r="G1122" s="5">
        <v>7.2</v>
      </c>
      <c r="H1122" s="5">
        <v>7.54</v>
      </c>
      <c r="I1122" s="4">
        <v>39.380000000000003</v>
      </c>
      <c r="J1122" s="4">
        <v>8.9600000000000009</v>
      </c>
      <c r="K1122" s="4">
        <v>39.380000000000003</v>
      </c>
      <c r="L1122" s="4">
        <v>9.19</v>
      </c>
      <c r="M1122" s="4">
        <v>13.71</v>
      </c>
      <c r="N1122" s="4">
        <v>14.15</v>
      </c>
      <c r="O1122" s="5">
        <v>14.65</v>
      </c>
      <c r="P1122" s="5">
        <v>15.45</v>
      </c>
    </row>
    <row r="1123" spans="1:16" ht="15" customHeight="1" x14ac:dyDescent="0.35">
      <c r="A1123" s="1">
        <v>5</v>
      </c>
      <c r="B1123" s="4">
        <v>6.13</v>
      </c>
      <c r="C1123" s="4">
        <v>6.13</v>
      </c>
      <c r="D1123" s="5">
        <v>6.31</v>
      </c>
      <c r="E1123" s="5">
        <v>6.85</v>
      </c>
      <c r="F1123" s="5">
        <v>7.12</v>
      </c>
      <c r="G1123" s="5">
        <v>7.54</v>
      </c>
      <c r="H1123" s="5">
        <v>7.99</v>
      </c>
      <c r="I1123" s="5">
        <v>42.35</v>
      </c>
      <c r="J1123" s="4">
        <v>8.9600000000000009</v>
      </c>
      <c r="K1123" s="4">
        <v>39.380000000000003</v>
      </c>
      <c r="L1123" s="4">
        <v>9.19</v>
      </c>
      <c r="M1123" s="4">
        <v>13.71</v>
      </c>
      <c r="N1123" s="4">
        <v>14.15</v>
      </c>
      <c r="O1123" s="5">
        <v>16.670000000000002</v>
      </c>
      <c r="P1123" s="5">
        <v>17.559999999999999</v>
      </c>
    </row>
    <row r="1124" spans="1:16" ht="15" customHeight="1" x14ac:dyDescent="0.35">
      <c r="A1124" s="1">
        <v>6</v>
      </c>
      <c r="B1124" s="4">
        <v>6.13</v>
      </c>
      <c r="C1124" s="4">
        <v>6.13</v>
      </c>
      <c r="D1124" s="5">
        <v>6.37</v>
      </c>
      <c r="E1124" s="5">
        <v>6.88</v>
      </c>
      <c r="F1124" s="5">
        <v>7.13</v>
      </c>
      <c r="G1124" s="5">
        <v>7.54</v>
      </c>
      <c r="H1124" s="5">
        <v>7.99</v>
      </c>
      <c r="I1124" s="5">
        <v>45.71</v>
      </c>
      <c r="J1124" s="4">
        <v>8.9600000000000009</v>
      </c>
      <c r="K1124" s="4">
        <v>39.380000000000003</v>
      </c>
      <c r="L1124" s="4">
        <v>9.19</v>
      </c>
      <c r="M1124" s="5">
        <v>14.35</v>
      </c>
      <c r="N1124" s="5">
        <v>15.08</v>
      </c>
      <c r="O1124" s="5">
        <v>18.77</v>
      </c>
      <c r="P1124" s="5">
        <v>19.739999999999998</v>
      </c>
    </row>
    <row r="1125" spans="1:16" ht="15" customHeight="1" x14ac:dyDescent="0.35">
      <c r="A1125" s="1">
        <v>7</v>
      </c>
      <c r="B1125" s="4">
        <v>6.13</v>
      </c>
      <c r="C1125" s="4">
        <v>6.13</v>
      </c>
      <c r="D1125" s="5">
        <v>6.54</v>
      </c>
      <c r="E1125" s="5">
        <v>7.09</v>
      </c>
      <c r="F1125" s="5">
        <v>7.26</v>
      </c>
      <c r="G1125" s="5">
        <v>7.75</v>
      </c>
      <c r="H1125" s="5">
        <v>8.2899999999999991</v>
      </c>
      <c r="I1125" s="5">
        <v>48.8</v>
      </c>
      <c r="J1125" s="4">
        <v>8.9600000000000009</v>
      </c>
      <c r="K1125" s="4">
        <v>39.380000000000003</v>
      </c>
      <c r="L1125" s="4">
        <v>9.19</v>
      </c>
      <c r="M1125" s="5">
        <v>15.89</v>
      </c>
      <c r="N1125" s="5">
        <v>16.73</v>
      </c>
      <c r="O1125" s="5">
        <v>20.8</v>
      </c>
      <c r="P1125" s="5">
        <v>21.89</v>
      </c>
    </row>
    <row r="1126" spans="1:16" ht="15" customHeight="1" x14ac:dyDescent="0.35">
      <c r="A1126" s="1">
        <v>8</v>
      </c>
      <c r="B1126" s="4">
        <v>6.13</v>
      </c>
      <c r="C1126" s="4">
        <v>6.13</v>
      </c>
      <c r="D1126" s="5">
        <v>6.76</v>
      </c>
      <c r="E1126" s="5">
        <v>7.3</v>
      </c>
      <c r="F1126" s="5">
        <v>7.55</v>
      </c>
      <c r="G1126" s="5">
        <v>8.06</v>
      </c>
      <c r="H1126" s="5">
        <v>8.65</v>
      </c>
      <c r="I1126" s="5">
        <v>50.71</v>
      </c>
      <c r="J1126" s="4">
        <v>8.9600000000000009</v>
      </c>
      <c r="K1126" s="4">
        <v>39.380000000000003</v>
      </c>
      <c r="L1126" s="4">
        <v>9.19</v>
      </c>
      <c r="M1126" s="5">
        <v>17.46</v>
      </c>
      <c r="N1126" s="5">
        <v>18.43</v>
      </c>
      <c r="O1126" s="5">
        <v>22.85</v>
      </c>
      <c r="P1126" s="5">
        <v>24.11</v>
      </c>
    </row>
    <row r="1127" spans="1:16" ht="15" customHeight="1" x14ac:dyDescent="0.35">
      <c r="A1127" s="1">
        <v>9</v>
      </c>
      <c r="B1127" s="4">
        <v>6.13</v>
      </c>
      <c r="C1127" s="5">
        <v>6.21</v>
      </c>
      <c r="D1127" s="5">
        <v>6.79</v>
      </c>
      <c r="E1127" s="5">
        <v>7.36</v>
      </c>
      <c r="F1127" s="5">
        <v>7.71</v>
      </c>
      <c r="G1127" s="5">
        <v>8.39</v>
      </c>
      <c r="H1127" s="5">
        <v>9.11</v>
      </c>
      <c r="I1127" s="5">
        <v>54.28</v>
      </c>
      <c r="J1127" s="4">
        <v>8.9600000000000009</v>
      </c>
      <c r="K1127" s="5">
        <v>41.48</v>
      </c>
      <c r="L1127" s="4">
        <v>9.19</v>
      </c>
      <c r="M1127" s="5">
        <v>19.010000000000002</v>
      </c>
      <c r="N1127" s="5">
        <v>20.100000000000001</v>
      </c>
      <c r="O1127" s="5">
        <v>24.88</v>
      </c>
      <c r="P1127" s="5">
        <v>26.3</v>
      </c>
    </row>
    <row r="1128" spans="1:16" ht="15" customHeight="1" x14ac:dyDescent="0.35">
      <c r="A1128" s="1">
        <v>10</v>
      </c>
      <c r="B1128" s="4">
        <v>6.13</v>
      </c>
      <c r="C1128" s="5">
        <v>6.28</v>
      </c>
      <c r="D1128" s="5">
        <v>6.86</v>
      </c>
      <c r="E1128" s="5">
        <v>7.56</v>
      </c>
      <c r="F1128" s="5">
        <v>7.8</v>
      </c>
      <c r="G1128" s="5">
        <v>8.7899999999999991</v>
      </c>
      <c r="H1128" s="5">
        <v>9.7100000000000009</v>
      </c>
      <c r="I1128" s="5">
        <v>57.67</v>
      </c>
      <c r="J1128" s="4">
        <v>8.9600000000000009</v>
      </c>
      <c r="K1128" s="5">
        <v>44.07</v>
      </c>
      <c r="L1128" s="4">
        <v>9.19</v>
      </c>
      <c r="M1128" s="5">
        <v>20.56</v>
      </c>
      <c r="N1128" s="5">
        <v>21.8</v>
      </c>
      <c r="O1128" s="5">
        <v>26.9</v>
      </c>
      <c r="P1128" s="5">
        <v>28.53</v>
      </c>
    </row>
    <row r="1129" spans="1:16" ht="15" customHeight="1" x14ac:dyDescent="0.35">
      <c r="A1129" s="1">
        <v>11</v>
      </c>
      <c r="B1129" s="4">
        <v>6.13</v>
      </c>
      <c r="C1129" s="4">
        <v>6.13</v>
      </c>
      <c r="D1129" s="5">
        <v>6.54</v>
      </c>
      <c r="E1129" s="5">
        <v>7.1</v>
      </c>
      <c r="F1129" s="5">
        <v>7.53</v>
      </c>
      <c r="G1129" s="5">
        <v>8.8800000000000008</v>
      </c>
      <c r="H1129" s="5">
        <v>9.64</v>
      </c>
      <c r="I1129" s="5">
        <v>61.19</v>
      </c>
      <c r="J1129" s="4">
        <v>8.9600000000000009</v>
      </c>
      <c r="K1129" s="5">
        <v>46.76</v>
      </c>
      <c r="L1129" s="4">
        <v>9.19</v>
      </c>
      <c r="M1129" s="5">
        <v>22.28</v>
      </c>
      <c r="N1129" s="5">
        <v>23.63</v>
      </c>
      <c r="O1129" s="5">
        <v>29.15</v>
      </c>
      <c r="P1129" s="5">
        <v>30.93</v>
      </c>
    </row>
    <row r="1130" spans="1:16" ht="15" customHeight="1" x14ac:dyDescent="0.35">
      <c r="A1130" s="1">
        <v>12</v>
      </c>
      <c r="B1130" s="4">
        <v>6.13</v>
      </c>
      <c r="C1130" s="5">
        <v>6.21</v>
      </c>
      <c r="D1130" s="5">
        <v>6.61</v>
      </c>
      <c r="E1130" s="5">
        <v>7.2</v>
      </c>
      <c r="F1130" s="5">
        <v>7.79</v>
      </c>
      <c r="G1130" s="5">
        <v>9.23</v>
      </c>
      <c r="H1130" s="5">
        <v>10.09</v>
      </c>
      <c r="I1130" s="5">
        <v>63.81</v>
      </c>
      <c r="J1130" s="4">
        <v>8.9600000000000009</v>
      </c>
      <c r="K1130" s="5">
        <v>48.77</v>
      </c>
      <c r="L1130" s="4">
        <v>9.19</v>
      </c>
      <c r="M1130" s="5">
        <v>23.79</v>
      </c>
      <c r="N1130" s="5">
        <v>25.26</v>
      </c>
      <c r="O1130" s="5">
        <v>31.13</v>
      </c>
      <c r="P1130" s="5">
        <v>33.049999999999997</v>
      </c>
    </row>
    <row r="1131" spans="1:16" ht="15" customHeight="1" x14ac:dyDescent="0.35">
      <c r="A1131" s="1">
        <v>13</v>
      </c>
      <c r="B1131" s="4">
        <v>6.13</v>
      </c>
      <c r="C1131" s="5">
        <v>6.24</v>
      </c>
      <c r="D1131" s="5">
        <v>6.68</v>
      </c>
      <c r="E1131" s="5">
        <v>7.33</v>
      </c>
      <c r="F1131" s="5">
        <v>8.0299999999999994</v>
      </c>
      <c r="G1131" s="5">
        <v>9.8000000000000007</v>
      </c>
      <c r="H1131" s="5">
        <v>10.55</v>
      </c>
      <c r="I1131" s="5">
        <v>66.459999999999994</v>
      </c>
      <c r="J1131" s="4">
        <v>8.9600000000000009</v>
      </c>
      <c r="K1131" s="5">
        <v>50.79</v>
      </c>
      <c r="L1131" s="5">
        <v>9.4700000000000006</v>
      </c>
      <c r="M1131" s="5">
        <v>25.2</v>
      </c>
      <c r="N1131" s="5">
        <v>26.81</v>
      </c>
      <c r="O1131" s="5">
        <v>32.979999999999997</v>
      </c>
      <c r="P1131" s="5">
        <v>35.090000000000003</v>
      </c>
    </row>
    <row r="1132" spans="1:16" ht="15" customHeight="1" x14ac:dyDescent="0.35">
      <c r="A1132" s="1">
        <v>14</v>
      </c>
      <c r="B1132" s="4">
        <v>6.13</v>
      </c>
      <c r="C1132" s="5">
        <v>6.41</v>
      </c>
      <c r="D1132" s="5">
        <v>6.75</v>
      </c>
      <c r="E1132" s="5">
        <v>7.51</v>
      </c>
      <c r="F1132" s="5">
        <v>8.5</v>
      </c>
      <c r="G1132" s="5">
        <v>10.5</v>
      </c>
      <c r="H1132" s="5">
        <v>11.47</v>
      </c>
      <c r="I1132" s="5">
        <v>69.209999999999994</v>
      </c>
      <c r="J1132" s="4">
        <v>8.9600000000000009</v>
      </c>
      <c r="K1132" s="5">
        <v>52.89</v>
      </c>
      <c r="L1132" s="5">
        <v>9.7799999999999994</v>
      </c>
      <c r="M1132" s="5">
        <v>26.5</v>
      </c>
      <c r="N1132" s="5">
        <v>28.37</v>
      </c>
      <c r="O1132" s="5">
        <v>34.68</v>
      </c>
      <c r="P1132" s="5">
        <v>37.130000000000003</v>
      </c>
    </row>
    <row r="1133" spans="1:16" ht="15" customHeight="1" x14ac:dyDescent="0.35">
      <c r="A1133" s="1">
        <v>15</v>
      </c>
      <c r="B1133" s="4">
        <v>6.13</v>
      </c>
      <c r="C1133" s="5">
        <v>6.55</v>
      </c>
      <c r="D1133" s="5">
        <v>6.84</v>
      </c>
      <c r="E1133" s="5">
        <v>7.78</v>
      </c>
      <c r="F1133" s="5">
        <v>8.9700000000000006</v>
      </c>
      <c r="G1133" s="5">
        <v>10.83</v>
      </c>
      <c r="H1133" s="5">
        <v>11.94</v>
      </c>
      <c r="I1133" s="5">
        <v>71.760000000000005</v>
      </c>
      <c r="J1133" s="4">
        <v>8.9600000000000009</v>
      </c>
      <c r="K1133" s="5">
        <v>54.84</v>
      </c>
      <c r="L1133" s="5">
        <v>10.08</v>
      </c>
      <c r="M1133" s="5">
        <v>27.84</v>
      </c>
      <c r="N1133" s="5">
        <v>29.92</v>
      </c>
      <c r="O1133" s="5">
        <v>36.43</v>
      </c>
      <c r="P1133" s="5">
        <v>39.15</v>
      </c>
    </row>
    <row r="1134" spans="1:16" ht="15" customHeight="1" x14ac:dyDescent="0.35">
      <c r="A1134" s="1">
        <v>16</v>
      </c>
      <c r="B1134" s="5">
        <v>6.23</v>
      </c>
      <c r="C1134" s="5">
        <v>6.74</v>
      </c>
      <c r="D1134" s="5">
        <v>6.97</v>
      </c>
      <c r="E1134" s="5">
        <v>7.91</v>
      </c>
      <c r="F1134" s="5">
        <v>9.26</v>
      </c>
      <c r="G1134" s="5">
        <v>11.4</v>
      </c>
      <c r="H1134" s="5">
        <v>12.54</v>
      </c>
      <c r="I1134" s="5">
        <v>74.97</v>
      </c>
      <c r="J1134" s="4">
        <v>8.9600000000000009</v>
      </c>
      <c r="K1134" s="5">
        <v>57.29</v>
      </c>
      <c r="L1134" s="5">
        <v>10.32</v>
      </c>
      <c r="M1134" s="5">
        <v>29.08</v>
      </c>
      <c r="N1134" s="5">
        <v>31.33</v>
      </c>
      <c r="O1134" s="5">
        <v>38.049999999999997</v>
      </c>
      <c r="P1134" s="5">
        <v>41</v>
      </c>
    </row>
    <row r="1135" spans="1:16" ht="15" customHeight="1" x14ac:dyDescent="0.35">
      <c r="A1135" s="1">
        <v>17</v>
      </c>
      <c r="B1135" s="5">
        <v>6.27</v>
      </c>
      <c r="C1135" s="5">
        <v>6.88</v>
      </c>
      <c r="D1135" s="5">
        <v>7.05</v>
      </c>
      <c r="E1135" s="5">
        <v>8.14</v>
      </c>
      <c r="F1135" s="5">
        <v>9.66</v>
      </c>
      <c r="G1135" s="5">
        <v>11.98</v>
      </c>
      <c r="H1135" s="5">
        <v>12.54</v>
      </c>
      <c r="I1135" s="5">
        <v>78.17</v>
      </c>
      <c r="J1135" s="4">
        <v>8.9600000000000009</v>
      </c>
      <c r="K1135" s="5">
        <v>59.73</v>
      </c>
      <c r="L1135" s="5">
        <v>10.64</v>
      </c>
      <c r="M1135" s="5">
        <v>30.47</v>
      </c>
      <c r="N1135" s="5">
        <v>32.96</v>
      </c>
      <c r="O1135" s="5">
        <v>39.869999999999997</v>
      </c>
      <c r="P1135" s="5">
        <v>43.13</v>
      </c>
    </row>
    <row r="1136" spans="1:16" ht="15" customHeight="1" x14ac:dyDescent="0.35">
      <c r="A1136" s="1">
        <v>18</v>
      </c>
      <c r="B1136" s="5">
        <v>6.34</v>
      </c>
      <c r="C1136" s="5">
        <v>6.97</v>
      </c>
      <c r="D1136" s="5">
        <v>7.12</v>
      </c>
      <c r="E1136" s="5">
        <v>8.5299999999999994</v>
      </c>
      <c r="F1136" s="5">
        <v>10.16</v>
      </c>
      <c r="G1136" s="5">
        <v>12.34</v>
      </c>
      <c r="H1136" s="5">
        <v>13.52</v>
      </c>
      <c r="I1136" s="5">
        <v>81.400000000000006</v>
      </c>
      <c r="J1136" s="4">
        <v>8.9600000000000009</v>
      </c>
      <c r="K1136" s="5">
        <v>62.2</v>
      </c>
      <c r="L1136" s="5">
        <v>10.94</v>
      </c>
      <c r="M1136" s="5">
        <v>31.89</v>
      </c>
      <c r="N1136" s="5">
        <v>34.590000000000003</v>
      </c>
      <c r="O1136" s="5">
        <v>41.73</v>
      </c>
      <c r="P1136" s="5">
        <v>45.26</v>
      </c>
    </row>
    <row r="1137" spans="1:16" ht="15" customHeight="1" x14ac:dyDescent="0.35">
      <c r="A1137" s="1">
        <v>19</v>
      </c>
      <c r="B1137" s="5">
        <v>6.51</v>
      </c>
      <c r="C1137" s="5">
        <v>7.31</v>
      </c>
      <c r="D1137" s="5">
        <v>7.51</v>
      </c>
      <c r="E1137" s="5">
        <v>8.93</v>
      </c>
      <c r="F1137" s="5">
        <v>10.46</v>
      </c>
      <c r="G1137" s="5">
        <v>12.71</v>
      </c>
      <c r="H1137" s="5">
        <v>14.17</v>
      </c>
      <c r="I1137" s="5">
        <v>84.61</v>
      </c>
      <c r="J1137" s="4">
        <v>8.9600000000000009</v>
      </c>
      <c r="K1137" s="5">
        <v>64.66</v>
      </c>
      <c r="L1137" s="5">
        <v>11.28</v>
      </c>
      <c r="M1137" s="5">
        <v>33.26</v>
      </c>
      <c r="N1137" s="5">
        <v>36.21</v>
      </c>
      <c r="O1137" s="5">
        <v>43.53</v>
      </c>
      <c r="P1137" s="5">
        <v>47.38</v>
      </c>
    </row>
    <row r="1138" spans="1:16" ht="15" customHeight="1" x14ac:dyDescent="0.35">
      <c r="A1138" s="1">
        <v>20</v>
      </c>
      <c r="B1138" s="5">
        <v>6.56</v>
      </c>
      <c r="C1138" s="5">
        <v>7.37</v>
      </c>
      <c r="D1138" s="5">
        <v>7.55</v>
      </c>
      <c r="E1138" s="5">
        <v>9.2799999999999994</v>
      </c>
      <c r="F1138" s="5">
        <v>10.81</v>
      </c>
      <c r="G1138" s="5">
        <v>13.18</v>
      </c>
      <c r="H1138" s="5">
        <v>14.68</v>
      </c>
      <c r="I1138" s="5">
        <v>87.44</v>
      </c>
      <c r="J1138" s="4">
        <v>8.9600000000000009</v>
      </c>
      <c r="K1138" s="5">
        <v>66.819999999999993</v>
      </c>
      <c r="L1138" s="5">
        <v>11.57</v>
      </c>
      <c r="M1138" s="5">
        <v>34.6</v>
      </c>
      <c r="N1138" s="5">
        <v>37.85</v>
      </c>
      <c r="O1138" s="5">
        <v>45.28</v>
      </c>
      <c r="P1138" s="5">
        <v>49.53</v>
      </c>
    </row>
    <row r="1139" spans="1:16" ht="15" customHeight="1" x14ac:dyDescent="0.35">
      <c r="A1139" s="1">
        <v>21</v>
      </c>
      <c r="B1139" s="4">
        <v>6.13</v>
      </c>
      <c r="C1139" s="5">
        <v>6.81</v>
      </c>
      <c r="D1139" s="5">
        <v>7.07</v>
      </c>
      <c r="E1139" s="5">
        <v>8.35</v>
      </c>
      <c r="F1139" s="5">
        <v>9.91</v>
      </c>
      <c r="G1139" s="5">
        <v>12.04</v>
      </c>
      <c r="H1139" s="5">
        <v>13.45</v>
      </c>
      <c r="I1139" s="5">
        <v>89.44</v>
      </c>
      <c r="J1139" s="4">
        <v>8.9600000000000009</v>
      </c>
      <c r="K1139" s="5">
        <v>68.349999999999994</v>
      </c>
      <c r="L1139" s="5">
        <v>11.93</v>
      </c>
      <c r="M1139" s="5">
        <v>35.81</v>
      </c>
      <c r="N1139" s="5">
        <v>39.479999999999997</v>
      </c>
      <c r="O1139" s="5">
        <v>46.87</v>
      </c>
      <c r="P1139" s="5">
        <v>51.66</v>
      </c>
    </row>
    <row r="1140" spans="1:16" ht="15" customHeight="1" x14ac:dyDescent="0.35">
      <c r="A1140" s="1">
        <v>22</v>
      </c>
      <c r="B1140" s="4">
        <v>6.13</v>
      </c>
      <c r="C1140" s="5">
        <v>6.88</v>
      </c>
      <c r="D1140" s="5">
        <v>7.25</v>
      </c>
      <c r="E1140" s="5">
        <v>8.58</v>
      </c>
      <c r="F1140" s="5">
        <v>10.32</v>
      </c>
      <c r="G1140" s="5">
        <v>12.49</v>
      </c>
      <c r="H1140" s="5">
        <v>14.04</v>
      </c>
      <c r="I1140" s="5">
        <v>92.24</v>
      </c>
      <c r="J1140" s="4">
        <v>8.9600000000000009</v>
      </c>
      <c r="K1140" s="5">
        <v>70.489999999999995</v>
      </c>
      <c r="L1140" s="5">
        <v>12.2</v>
      </c>
      <c r="M1140" s="5">
        <v>36.99</v>
      </c>
      <c r="N1140" s="5">
        <v>41.04</v>
      </c>
      <c r="O1140" s="5">
        <v>48.4</v>
      </c>
      <c r="P1140" s="5">
        <v>53.7</v>
      </c>
    </row>
    <row r="1141" spans="1:16" ht="15" customHeight="1" x14ac:dyDescent="0.35">
      <c r="A1141" s="1">
        <v>23</v>
      </c>
      <c r="B1141" s="4">
        <v>6.13</v>
      </c>
      <c r="C1141" s="5">
        <v>7.01</v>
      </c>
      <c r="D1141" s="5">
        <v>7.41</v>
      </c>
      <c r="E1141" s="5">
        <v>8.74</v>
      </c>
      <c r="F1141" s="5">
        <v>10.71</v>
      </c>
      <c r="G1141" s="5">
        <v>12.79</v>
      </c>
      <c r="H1141" s="5">
        <v>14.6</v>
      </c>
      <c r="I1141" s="5">
        <v>95.02</v>
      </c>
      <c r="J1141" s="4">
        <v>8.9600000000000009</v>
      </c>
      <c r="K1141" s="5">
        <v>72.61</v>
      </c>
      <c r="L1141" s="5">
        <v>12.52</v>
      </c>
      <c r="M1141" s="5">
        <v>38.15</v>
      </c>
      <c r="N1141" s="5">
        <v>42.58</v>
      </c>
      <c r="O1141" s="5">
        <v>49.92</v>
      </c>
      <c r="P1141" s="5">
        <v>55.72</v>
      </c>
    </row>
    <row r="1142" spans="1:16" ht="15" customHeight="1" x14ac:dyDescent="0.35">
      <c r="A1142" s="1">
        <v>24</v>
      </c>
      <c r="B1142" s="5">
        <v>6.25</v>
      </c>
      <c r="C1142" s="5">
        <v>7.29</v>
      </c>
      <c r="D1142" s="5">
        <v>7.8</v>
      </c>
      <c r="E1142" s="5">
        <v>9.2100000000000009</v>
      </c>
      <c r="F1142" s="5">
        <v>11.22</v>
      </c>
      <c r="G1142" s="5">
        <v>13.22</v>
      </c>
      <c r="H1142" s="5">
        <v>15.44</v>
      </c>
      <c r="I1142" s="5">
        <v>98.14</v>
      </c>
      <c r="J1142" s="4">
        <v>8.9600000000000009</v>
      </c>
      <c r="K1142" s="5">
        <v>75</v>
      </c>
      <c r="L1142" s="5">
        <v>12.84</v>
      </c>
      <c r="M1142" s="5">
        <v>39.29</v>
      </c>
      <c r="N1142" s="5">
        <v>44.13</v>
      </c>
      <c r="O1142" s="5">
        <v>51.41</v>
      </c>
      <c r="P1142" s="5">
        <v>57.75</v>
      </c>
    </row>
    <row r="1143" spans="1:16" ht="15" customHeight="1" x14ac:dyDescent="0.35">
      <c r="A1143" s="1">
        <v>25</v>
      </c>
      <c r="B1143" s="5">
        <v>6.27</v>
      </c>
      <c r="C1143" s="5">
        <v>7.32</v>
      </c>
      <c r="D1143" s="5">
        <v>7.83</v>
      </c>
      <c r="E1143" s="5">
        <v>9.3800000000000008</v>
      </c>
      <c r="F1143" s="5">
        <v>11.54</v>
      </c>
      <c r="G1143" s="5">
        <v>13.95</v>
      </c>
      <c r="H1143" s="5">
        <v>15.91</v>
      </c>
      <c r="I1143" s="5">
        <v>101.18</v>
      </c>
      <c r="J1143" s="4">
        <v>8.9600000000000009</v>
      </c>
      <c r="K1143" s="5">
        <v>77.319999999999993</v>
      </c>
      <c r="L1143" s="5">
        <v>13.2</v>
      </c>
      <c r="M1143" s="5">
        <v>40.549999999999997</v>
      </c>
      <c r="N1143" s="5">
        <v>45.65</v>
      </c>
      <c r="O1143" s="5">
        <v>53.07</v>
      </c>
      <c r="P1143" s="5">
        <v>59.74</v>
      </c>
    </row>
    <row r="1144" spans="1:16" ht="15" customHeight="1" x14ac:dyDescent="0.35">
      <c r="A1144" s="1">
        <v>26</v>
      </c>
      <c r="B1144" s="4">
        <v>6.13</v>
      </c>
      <c r="C1144" s="5">
        <v>6.39</v>
      </c>
      <c r="D1144" s="5">
        <v>6.89</v>
      </c>
      <c r="E1144" s="5">
        <v>8.24</v>
      </c>
      <c r="F1144" s="5">
        <v>10.09</v>
      </c>
      <c r="G1144" s="5">
        <v>12.25</v>
      </c>
      <c r="H1144" s="5">
        <v>13.98</v>
      </c>
      <c r="I1144" s="5">
        <v>104.38</v>
      </c>
      <c r="J1144" s="4">
        <v>8.9600000000000009</v>
      </c>
      <c r="K1144" s="5">
        <v>79.760000000000005</v>
      </c>
      <c r="L1144" s="5">
        <v>13.55</v>
      </c>
      <c r="M1144" s="5">
        <v>41.8</v>
      </c>
      <c r="N1144" s="5">
        <v>47.14</v>
      </c>
      <c r="O1144" s="5">
        <v>54.69</v>
      </c>
      <c r="P1144" s="5">
        <v>61.69</v>
      </c>
    </row>
    <row r="1145" spans="1:16" ht="15" customHeight="1" x14ac:dyDescent="0.35">
      <c r="A1145" s="1">
        <v>27</v>
      </c>
      <c r="B1145" s="4">
        <v>6.13</v>
      </c>
      <c r="C1145" s="5">
        <v>6.54</v>
      </c>
      <c r="D1145" s="5">
        <v>7.03</v>
      </c>
      <c r="E1145" s="5">
        <v>8.3800000000000008</v>
      </c>
      <c r="F1145" s="5">
        <v>10.5</v>
      </c>
      <c r="G1145" s="5">
        <v>12.48</v>
      </c>
      <c r="H1145" s="5">
        <v>14.22</v>
      </c>
      <c r="I1145" s="5">
        <v>107.28</v>
      </c>
      <c r="J1145" s="4">
        <v>8.9600000000000009</v>
      </c>
      <c r="K1145" s="5">
        <v>81.98</v>
      </c>
      <c r="L1145" s="5">
        <v>13.89</v>
      </c>
      <c r="M1145" s="5">
        <v>43</v>
      </c>
      <c r="N1145" s="5">
        <v>48.61</v>
      </c>
      <c r="O1145" s="5">
        <v>56.27</v>
      </c>
      <c r="P1145" s="5">
        <v>63.61</v>
      </c>
    </row>
    <row r="1146" spans="1:16" ht="15" customHeight="1" x14ac:dyDescent="0.35">
      <c r="A1146" s="1">
        <v>28</v>
      </c>
      <c r="B1146" s="4">
        <v>6.13</v>
      </c>
      <c r="C1146" s="5">
        <v>6.7</v>
      </c>
      <c r="D1146" s="5">
        <v>7.35</v>
      </c>
      <c r="E1146" s="5">
        <v>8.8699999999999992</v>
      </c>
      <c r="F1146" s="5">
        <v>11.01</v>
      </c>
      <c r="G1146" s="5">
        <v>13.04</v>
      </c>
      <c r="H1146" s="5">
        <v>14.76</v>
      </c>
      <c r="I1146" s="5">
        <v>110.16</v>
      </c>
      <c r="J1146" s="4">
        <v>8.9600000000000009</v>
      </c>
      <c r="K1146" s="5">
        <v>84.18</v>
      </c>
      <c r="L1146" s="5">
        <v>14.21</v>
      </c>
      <c r="M1146" s="5">
        <v>44.24</v>
      </c>
      <c r="N1146" s="5">
        <v>50.09</v>
      </c>
      <c r="O1146" s="5">
        <v>57.9</v>
      </c>
      <c r="P1146" s="5">
        <v>65.540000000000006</v>
      </c>
    </row>
    <row r="1147" spans="1:16" ht="15" customHeight="1" x14ac:dyDescent="0.35">
      <c r="A1147" s="1">
        <v>29</v>
      </c>
      <c r="B1147" s="4">
        <v>6.13</v>
      </c>
      <c r="C1147" s="5">
        <v>6.83</v>
      </c>
      <c r="D1147" s="5">
        <v>7.42</v>
      </c>
      <c r="E1147" s="5">
        <v>8.8699999999999992</v>
      </c>
      <c r="F1147" s="5">
        <v>11.33</v>
      </c>
      <c r="G1147" s="5">
        <v>13.33</v>
      </c>
      <c r="H1147" s="5">
        <v>15.15</v>
      </c>
      <c r="I1147" s="5">
        <v>112.87</v>
      </c>
      <c r="J1147" s="5">
        <v>9.06</v>
      </c>
      <c r="K1147" s="5">
        <v>86.25</v>
      </c>
      <c r="L1147" s="5">
        <v>14.56</v>
      </c>
      <c r="M1147" s="5">
        <v>45.5</v>
      </c>
      <c r="N1147" s="5">
        <v>51.51</v>
      </c>
      <c r="O1147" s="5">
        <v>59.55</v>
      </c>
      <c r="P1147" s="5">
        <v>67.41</v>
      </c>
    </row>
    <row r="1148" spans="1:16" ht="15" customHeight="1" x14ac:dyDescent="0.35">
      <c r="A1148" s="1">
        <v>30</v>
      </c>
      <c r="B1148" s="4">
        <v>6.13</v>
      </c>
      <c r="C1148" s="5">
        <v>6.99</v>
      </c>
      <c r="D1148" s="5">
        <v>7.7</v>
      </c>
      <c r="E1148" s="5">
        <v>9.2200000000000006</v>
      </c>
      <c r="F1148" s="5">
        <v>11.51</v>
      </c>
      <c r="G1148" s="5">
        <v>13.4</v>
      </c>
      <c r="H1148" s="5">
        <v>15.78</v>
      </c>
      <c r="I1148" s="5">
        <v>115.57</v>
      </c>
      <c r="J1148" s="5">
        <v>9.1</v>
      </c>
      <c r="K1148" s="5">
        <v>88.32</v>
      </c>
      <c r="L1148" s="5">
        <v>14.85</v>
      </c>
      <c r="M1148" s="5">
        <v>46.74</v>
      </c>
      <c r="N1148" s="5">
        <v>53</v>
      </c>
      <c r="O1148" s="5">
        <v>61.16</v>
      </c>
      <c r="P1148" s="5">
        <v>69.349999999999994</v>
      </c>
    </row>
    <row r="1149" spans="1:16" ht="15" customHeight="1" x14ac:dyDescent="0.35">
      <c r="A1149" s="1">
        <v>31</v>
      </c>
      <c r="B1149" s="5">
        <v>6.16</v>
      </c>
      <c r="C1149" s="5">
        <v>7.14</v>
      </c>
      <c r="D1149" s="5">
        <v>7.85</v>
      </c>
      <c r="E1149" s="5">
        <v>9.34</v>
      </c>
      <c r="F1149" s="5">
        <v>11.84</v>
      </c>
      <c r="G1149" s="5">
        <v>13.9</v>
      </c>
      <c r="H1149" s="5">
        <v>16.29</v>
      </c>
      <c r="I1149" s="5">
        <v>115.58</v>
      </c>
      <c r="J1149" s="5">
        <v>9.2200000000000006</v>
      </c>
      <c r="K1149" s="5">
        <v>88.33</v>
      </c>
      <c r="L1149" s="5">
        <v>15.17</v>
      </c>
      <c r="M1149" s="5">
        <v>47.99</v>
      </c>
      <c r="N1149" s="5">
        <v>54.4</v>
      </c>
      <c r="O1149" s="5">
        <v>62.8</v>
      </c>
      <c r="P1149" s="5">
        <v>71.19</v>
      </c>
    </row>
    <row r="1150" spans="1:16" ht="15" customHeight="1" x14ac:dyDescent="0.35">
      <c r="A1150" s="1">
        <v>32</v>
      </c>
      <c r="B1150" s="5">
        <v>6.16</v>
      </c>
      <c r="C1150" s="5">
        <v>7.15</v>
      </c>
      <c r="D1150" s="5">
        <v>7.86</v>
      </c>
      <c r="E1150" s="5">
        <v>9.34</v>
      </c>
      <c r="F1150" s="5">
        <v>11.85</v>
      </c>
      <c r="G1150" s="5">
        <v>13.9</v>
      </c>
      <c r="H1150" s="5">
        <v>16.46</v>
      </c>
      <c r="I1150" s="5">
        <v>115.98</v>
      </c>
      <c r="J1150" s="5">
        <v>9.2899999999999991</v>
      </c>
      <c r="K1150" s="5">
        <v>88.63</v>
      </c>
      <c r="L1150" s="5">
        <v>15.41</v>
      </c>
      <c r="M1150" s="5">
        <v>49.13</v>
      </c>
      <c r="N1150" s="5">
        <v>55.7</v>
      </c>
      <c r="O1150" s="5">
        <v>64.3</v>
      </c>
      <c r="P1150" s="5">
        <v>72.89</v>
      </c>
    </row>
    <row r="1151" spans="1:16" ht="15" customHeight="1" x14ac:dyDescent="0.35">
      <c r="A1151" s="1">
        <v>33</v>
      </c>
      <c r="B1151" s="5">
        <v>6.19</v>
      </c>
      <c r="C1151" s="5">
        <v>7.25</v>
      </c>
      <c r="D1151" s="5">
        <v>8.2100000000000009</v>
      </c>
      <c r="E1151" s="5">
        <v>9.7799999999999994</v>
      </c>
      <c r="F1151" s="5">
        <v>12.59</v>
      </c>
      <c r="G1151" s="5">
        <v>14.36</v>
      </c>
      <c r="H1151" s="5">
        <v>16.91</v>
      </c>
      <c r="I1151" s="5">
        <v>118.41</v>
      </c>
      <c r="J1151" s="5">
        <v>9.35</v>
      </c>
      <c r="K1151" s="5">
        <v>90.49</v>
      </c>
      <c r="L1151" s="5">
        <v>15.65</v>
      </c>
      <c r="M1151" s="5">
        <v>50.27</v>
      </c>
      <c r="N1151" s="5">
        <v>56.89</v>
      </c>
      <c r="O1151" s="5">
        <v>65.78</v>
      </c>
      <c r="P1151" s="5">
        <v>74.45</v>
      </c>
    </row>
    <row r="1152" spans="1:16" ht="15" customHeight="1" x14ac:dyDescent="0.35">
      <c r="A1152" s="1">
        <v>34</v>
      </c>
      <c r="B1152" s="5">
        <v>6.23</v>
      </c>
      <c r="C1152" s="5">
        <v>7.41</v>
      </c>
      <c r="D1152" s="5">
        <v>8.4700000000000006</v>
      </c>
      <c r="E1152" s="5">
        <v>10.119999999999999</v>
      </c>
      <c r="F1152" s="5">
        <v>12.6</v>
      </c>
      <c r="G1152" s="5">
        <v>14.79</v>
      </c>
      <c r="H1152" s="5">
        <v>17.72</v>
      </c>
      <c r="I1152" s="5">
        <v>121.07</v>
      </c>
      <c r="J1152" s="5">
        <v>9.49</v>
      </c>
      <c r="K1152" s="5">
        <v>92.52</v>
      </c>
      <c r="L1152" s="5">
        <v>15.96</v>
      </c>
      <c r="M1152" s="5">
        <v>51.38</v>
      </c>
      <c r="N1152" s="5">
        <v>58.03</v>
      </c>
      <c r="O1152" s="5">
        <v>67.23</v>
      </c>
      <c r="P1152" s="5">
        <v>75.930000000000007</v>
      </c>
    </row>
    <row r="1153" spans="1:16" ht="15" customHeight="1" x14ac:dyDescent="0.35">
      <c r="A1153" s="1">
        <v>35</v>
      </c>
      <c r="B1153" s="5">
        <v>6.35</v>
      </c>
      <c r="C1153" s="5">
        <v>7.81</v>
      </c>
      <c r="D1153" s="5">
        <v>8.75</v>
      </c>
      <c r="E1153" s="5">
        <v>10.37</v>
      </c>
      <c r="F1153" s="5">
        <v>12.81</v>
      </c>
      <c r="G1153" s="5">
        <v>15.17</v>
      </c>
      <c r="H1153" s="5">
        <v>17.850000000000001</v>
      </c>
      <c r="I1153" s="5">
        <v>124.07</v>
      </c>
      <c r="J1153" s="5">
        <v>9.57</v>
      </c>
      <c r="K1153" s="5">
        <v>94.81</v>
      </c>
      <c r="L1153" s="5">
        <v>16.28</v>
      </c>
      <c r="M1153" s="5">
        <v>52.37</v>
      </c>
      <c r="N1153" s="5">
        <v>59.08</v>
      </c>
      <c r="O1153" s="5">
        <v>68.540000000000006</v>
      </c>
      <c r="P1153" s="5">
        <v>77.31</v>
      </c>
    </row>
    <row r="1154" spans="1:16" ht="15" customHeight="1" x14ac:dyDescent="0.35">
      <c r="A1154" s="1">
        <v>36</v>
      </c>
      <c r="B1154" s="5">
        <v>6.44</v>
      </c>
      <c r="C1154" s="5">
        <v>7.81</v>
      </c>
      <c r="D1154" s="5">
        <v>8.82</v>
      </c>
      <c r="E1154" s="5">
        <v>10.62</v>
      </c>
      <c r="F1154" s="5">
        <v>13.35</v>
      </c>
      <c r="G1154" s="5">
        <v>15.68</v>
      </c>
      <c r="H1154" s="5">
        <v>18.55</v>
      </c>
      <c r="I1154" s="5">
        <v>126.71</v>
      </c>
      <c r="J1154" s="5">
        <v>9.7200000000000006</v>
      </c>
      <c r="K1154" s="5">
        <v>96.83</v>
      </c>
      <c r="L1154" s="5">
        <v>16.53</v>
      </c>
      <c r="M1154" s="5">
        <v>53.27</v>
      </c>
      <c r="N1154" s="5">
        <v>60.08</v>
      </c>
      <c r="O1154" s="5">
        <v>69.709999999999994</v>
      </c>
      <c r="P1154" s="5">
        <v>78.62</v>
      </c>
    </row>
    <row r="1155" spans="1:16" ht="15" customHeight="1" x14ac:dyDescent="0.35">
      <c r="A1155" s="1">
        <v>37</v>
      </c>
      <c r="B1155" s="5">
        <v>6.54</v>
      </c>
      <c r="C1155" s="5">
        <v>7.92</v>
      </c>
      <c r="D1155" s="5">
        <v>8.91</v>
      </c>
      <c r="E1155" s="5">
        <v>10.86</v>
      </c>
      <c r="F1155" s="5">
        <v>13.41</v>
      </c>
      <c r="G1155" s="5">
        <v>16.190000000000001</v>
      </c>
      <c r="H1155" s="5">
        <v>18.73</v>
      </c>
      <c r="I1155" s="5">
        <v>129.62</v>
      </c>
      <c r="J1155" s="5">
        <v>9.74</v>
      </c>
      <c r="K1155" s="5">
        <v>99.05</v>
      </c>
      <c r="L1155" s="5">
        <v>16.79</v>
      </c>
      <c r="M1155" s="5">
        <v>54.17</v>
      </c>
      <c r="N1155" s="5">
        <v>61.03</v>
      </c>
      <c r="O1155" s="5">
        <v>70.89</v>
      </c>
      <c r="P1155" s="5">
        <v>79.86</v>
      </c>
    </row>
    <row r="1156" spans="1:16" ht="15" customHeight="1" x14ac:dyDescent="0.35">
      <c r="A1156" s="1">
        <v>38</v>
      </c>
      <c r="B1156" s="5">
        <v>6.64</v>
      </c>
      <c r="C1156" s="5">
        <v>8.0399999999999991</v>
      </c>
      <c r="D1156" s="5">
        <v>9.1999999999999993</v>
      </c>
      <c r="E1156" s="5">
        <v>11.12</v>
      </c>
      <c r="F1156" s="5">
        <v>13.71</v>
      </c>
      <c r="G1156" s="5">
        <v>16.25</v>
      </c>
      <c r="H1156" s="5">
        <v>19.079999999999998</v>
      </c>
      <c r="I1156" s="5">
        <v>132.72</v>
      </c>
      <c r="J1156" s="5">
        <v>9.85</v>
      </c>
      <c r="K1156" s="5">
        <v>101.42</v>
      </c>
      <c r="L1156" s="5">
        <v>17.04</v>
      </c>
      <c r="M1156" s="5">
        <v>55.05</v>
      </c>
      <c r="N1156" s="5">
        <v>62.03</v>
      </c>
      <c r="O1156" s="5">
        <v>72.03</v>
      </c>
      <c r="P1156" s="5">
        <v>81.17</v>
      </c>
    </row>
    <row r="1157" spans="1:16" ht="15" customHeight="1" x14ac:dyDescent="0.35">
      <c r="A1157" s="1">
        <v>39</v>
      </c>
      <c r="B1157" s="5">
        <v>6.86</v>
      </c>
      <c r="C1157" s="5">
        <v>8.35</v>
      </c>
      <c r="D1157" s="5">
        <v>9.59</v>
      </c>
      <c r="E1157" s="5">
        <v>11.46</v>
      </c>
      <c r="F1157" s="5">
        <v>14.33</v>
      </c>
      <c r="G1157" s="5">
        <v>16.89</v>
      </c>
      <c r="H1157" s="5">
        <v>19.47</v>
      </c>
      <c r="I1157" s="5">
        <v>135.58000000000001</v>
      </c>
      <c r="J1157" s="5">
        <v>9.91</v>
      </c>
      <c r="K1157" s="5">
        <v>103.61</v>
      </c>
      <c r="L1157" s="5">
        <v>17.29</v>
      </c>
      <c r="M1157" s="5">
        <v>55.99</v>
      </c>
      <c r="N1157" s="5">
        <v>62.98</v>
      </c>
      <c r="O1157" s="5">
        <v>73.27</v>
      </c>
      <c r="P1157" s="5">
        <v>82.42</v>
      </c>
    </row>
    <row r="1158" spans="1:16" ht="15" customHeight="1" x14ac:dyDescent="0.35">
      <c r="A1158" s="1">
        <v>40</v>
      </c>
      <c r="B1158" s="5">
        <v>6.87</v>
      </c>
      <c r="C1158" s="5">
        <v>8.3800000000000008</v>
      </c>
      <c r="D1158" s="5">
        <v>9.59</v>
      </c>
      <c r="E1158" s="5">
        <v>11.46</v>
      </c>
      <c r="F1158" s="5">
        <v>14.35</v>
      </c>
      <c r="G1158" s="5">
        <v>16.899999999999999</v>
      </c>
      <c r="H1158" s="5">
        <v>19.48</v>
      </c>
      <c r="I1158" s="5">
        <v>138.47999999999999</v>
      </c>
      <c r="J1158" s="5">
        <v>9.99</v>
      </c>
      <c r="K1158" s="5">
        <v>105.82</v>
      </c>
      <c r="L1158" s="5">
        <v>17.559999999999999</v>
      </c>
      <c r="M1158" s="5">
        <v>56.89</v>
      </c>
      <c r="N1158" s="5">
        <v>64.069999999999993</v>
      </c>
      <c r="O1158" s="5">
        <v>74.45</v>
      </c>
      <c r="P1158" s="5">
        <v>83.84</v>
      </c>
    </row>
    <row r="1159" spans="1:16" ht="15" customHeight="1" x14ac:dyDescent="0.35">
      <c r="A1159" s="1">
        <v>41</v>
      </c>
      <c r="B1159" s="5">
        <v>7.02</v>
      </c>
      <c r="C1159" s="5">
        <v>8.74</v>
      </c>
      <c r="D1159" s="5">
        <v>9.8699999999999992</v>
      </c>
      <c r="E1159" s="5">
        <v>11.87</v>
      </c>
      <c r="F1159" s="5">
        <v>14.95</v>
      </c>
      <c r="G1159" s="5">
        <v>17.420000000000002</v>
      </c>
      <c r="H1159" s="5">
        <v>20.21</v>
      </c>
      <c r="I1159" s="5">
        <v>140.87</v>
      </c>
      <c r="J1159" s="5">
        <v>10.11</v>
      </c>
      <c r="K1159" s="5">
        <v>107.65</v>
      </c>
      <c r="L1159" s="5">
        <v>17.79</v>
      </c>
      <c r="M1159" s="5">
        <v>57.83</v>
      </c>
      <c r="N1159" s="5">
        <v>65.19</v>
      </c>
      <c r="O1159" s="5">
        <v>75.67</v>
      </c>
      <c r="P1159" s="5">
        <v>85.3</v>
      </c>
    </row>
    <row r="1160" spans="1:16" ht="15" customHeight="1" x14ac:dyDescent="0.35">
      <c r="A1160" s="1">
        <v>42</v>
      </c>
      <c r="B1160" s="5">
        <v>7.03</v>
      </c>
      <c r="C1160" s="5">
        <v>8.77</v>
      </c>
      <c r="D1160" s="5">
        <v>10.25</v>
      </c>
      <c r="E1160" s="5">
        <v>11.91</v>
      </c>
      <c r="F1160" s="5">
        <v>15.02</v>
      </c>
      <c r="G1160" s="5">
        <v>17.71</v>
      </c>
      <c r="H1160" s="5">
        <v>20.309999999999999</v>
      </c>
      <c r="I1160" s="5">
        <v>143.53</v>
      </c>
      <c r="J1160" s="5">
        <v>10.31</v>
      </c>
      <c r="K1160" s="5">
        <v>109.68</v>
      </c>
      <c r="L1160" s="5">
        <v>18.09</v>
      </c>
      <c r="M1160" s="5">
        <v>58.71</v>
      </c>
      <c r="N1160" s="5">
        <v>66.34</v>
      </c>
      <c r="O1160" s="5">
        <v>76.83</v>
      </c>
      <c r="P1160" s="5">
        <v>86.81</v>
      </c>
    </row>
    <row r="1161" spans="1:16" ht="15" customHeight="1" x14ac:dyDescent="0.35">
      <c r="A1161" s="1">
        <v>43</v>
      </c>
      <c r="B1161" s="5">
        <v>7.16</v>
      </c>
      <c r="C1161" s="5">
        <v>8.9</v>
      </c>
      <c r="D1161" s="5">
        <v>10.27</v>
      </c>
      <c r="E1161" s="5">
        <v>12.52</v>
      </c>
      <c r="F1161" s="5">
        <v>15.83</v>
      </c>
      <c r="G1161" s="5">
        <v>18.36</v>
      </c>
      <c r="H1161" s="5">
        <v>20.87</v>
      </c>
      <c r="I1161" s="5">
        <v>146.46</v>
      </c>
      <c r="J1161" s="5">
        <v>10.42</v>
      </c>
      <c r="K1161" s="5">
        <v>111.92</v>
      </c>
      <c r="L1161" s="5">
        <v>18.3</v>
      </c>
      <c r="M1161" s="5">
        <v>59.59</v>
      </c>
      <c r="N1161" s="5">
        <v>67.52</v>
      </c>
      <c r="O1161" s="5">
        <v>77.97</v>
      </c>
      <c r="P1161" s="5">
        <v>88.35</v>
      </c>
    </row>
    <row r="1162" spans="1:16" ht="15" customHeight="1" x14ac:dyDescent="0.35">
      <c r="A1162" s="1">
        <v>44</v>
      </c>
      <c r="B1162" s="5">
        <v>7.26</v>
      </c>
      <c r="C1162" s="5">
        <v>9.0299999999999994</v>
      </c>
      <c r="D1162" s="5">
        <v>10.54</v>
      </c>
      <c r="E1162" s="5">
        <v>12.74</v>
      </c>
      <c r="F1162" s="5">
        <v>15.92</v>
      </c>
      <c r="G1162" s="5">
        <v>18.93</v>
      </c>
      <c r="H1162" s="5">
        <v>21.08</v>
      </c>
      <c r="I1162" s="5">
        <v>148.56</v>
      </c>
      <c r="J1162" s="5">
        <v>10.57</v>
      </c>
      <c r="K1162" s="5">
        <v>113.52</v>
      </c>
      <c r="L1162" s="5">
        <v>18.59</v>
      </c>
      <c r="M1162" s="5">
        <v>60.53</v>
      </c>
      <c r="N1162" s="5">
        <v>68.63</v>
      </c>
      <c r="O1162" s="5">
        <v>79.209999999999994</v>
      </c>
      <c r="P1162" s="5">
        <v>89.8</v>
      </c>
    </row>
    <row r="1163" spans="1:16" ht="15" customHeight="1" x14ac:dyDescent="0.35">
      <c r="A1163" s="1">
        <v>45</v>
      </c>
      <c r="B1163" s="5">
        <v>7.27</v>
      </c>
      <c r="C1163" s="5">
        <v>9.0399999999999991</v>
      </c>
      <c r="D1163" s="5">
        <v>10.54</v>
      </c>
      <c r="E1163" s="5">
        <v>12.74</v>
      </c>
      <c r="F1163" s="5">
        <v>15.93</v>
      </c>
      <c r="G1163" s="5">
        <v>19.3</v>
      </c>
      <c r="H1163" s="5">
        <v>21.23</v>
      </c>
      <c r="I1163" s="5">
        <v>151.41999999999999</v>
      </c>
      <c r="J1163" s="5">
        <v>10.68</v>
      </c>
      <c r="K1163" s="5">
        <v>115.71</v>
      </c>
      <c r="L1163" s="5">
        <v>18.82</v>
      </c>
      <c r="M1163" s="5">
        <v>61.43</v>
      </c>
      <c r="N1163" s="5">
        <v>69.77</v>
      </c>
      <c r="O1163" s="5">
        <v>80.38</v>
      </c>
      <c r="P1163" s="5">
        <v>91.3</v>
      </c>
    </row>
    <row r="1164" spans="1:16" ht="15" customHeight="1" x14ac:dyDescent="0.35">
      <c r="A1164" s="1">
        <v>46</v>
      </c>
      <c r="B1164" s="5">
        <v>7.46</v>
      </c>
      <c r="C1164" s="5">
        <v>9.1300000000000008</v>
      </c>
      <c r="D1164" s="5">
        <v>10.87</v>
      </c>
      <c r="E1164" s="5">
        <v>12.99</v>
      </c>
      <c r="F1164" s="5">
        <v>16.350000000000001</v>
      </c>
      <c r="G1164" s="5">
        <v>19.5</v>
      </c>
      <c r="H1164" s="5">
        <v>21.79</v>
      </c>
      <c r="I1164" s="5">
        <v>154.33000000000001</v>
      </c>
      <c r="J1164" s="5">
        <v>10.77</v>
      </c>
      <c r="K1164" s="5">
        <v>117.94</v>
      </c>
      <c r="L1164" s="5">
        <v>19.09</v>
      </c>
      <c r="M1164" s="5">
        <v>62.34</v>
      </c>
      <c r="N1164" s="5">
        <v>70.900000000000006</v>
      </c>
      <c r="O1164" s="5">
        <v>81.58</v>
      </c>
      <c r="P1164" s="5">
        <v>92.77</v>
      </c>
    </row>
    <row r="1165" spans="1:16" ht="15" customHeight="1" x14ac:dyDescent="0.35">
      <c r="A1165" s="1">
        <v>47</v>
      </c>
      <c r="B1165" s="5">
        <v>7.46</v>
      </c>
      <c r="C1165" s="5">
        <v>9.34</v>
      </c>
      <c r="D1165" s="5">
        <v>11.05</v>
      </c>
      <c r="E1165" s="5">
        <v>13.08</v>
      </c>
      <c r="F1165" s="5">
        <v>16.57</v>
      </c>
      <c r="G1165" s="5">
        <v>19.88</v>
      </c>
      <c r="H1165" s="5">
        <v>22.15</v>
      </c>
      <c r="I1165" s="5">
        <v>157.29</v>
      </c>
      <c r="J1165" s="5">
        <v>10.94</v>
      </c>
      <c r="K1165" s="5">
        <v>120.2</v>
      </c>
      <c r="L1165" s="5">
        <v>19.329999999999998</v>
      </c>
      <c r="M1165" s="5">
        <v>63.28</v>
      </c>
      <c r="N1165" s="5">
        <v>72.05</v>
      </c>
      <c r="O1165" s="5">
        <v>82.8</v>
      </c>
      <c r="P1165" s="5">
        <v>94.28</v>
      </c>
    </row>
    <row r="1166" spans="1:16" ht="15" customHeight="1" x14ac:dyDescent="0.35">
      <c r="A1166" s="1">
        <v>48</v>
      </c>
      <c r="B1166" s="5">
        <v>7.47</v>
      </c>
      <c r="C1166" s="5">
        <v>9.34</v>
      </c>
      <c r="D1166" s="5">
        <v>11.18</v>
      </c>
      <c r="E1166" s="5">
        <v>13.55</v>
      </c>
      <c r="F1166" s="5">
        <v>16.82</v>
      </c>
      <c r="G1166" s="5">
        <v>20.07</v>
      </c>
      <c r="H1166" s="5">
        <v>22.5</v>
      </c>
      <c r="I1166" s="5">
        <v>159.99</v>
      </c>
      <c r="J1166" s="5">
        <v>11.1</v>
      </c>
      <c r="K1166" s="5">
        <v>122.26</v>
      </c>
      <c r="L1166" s="5">
        <v>19.66</v>
      </c>
      <c r="M1166" s="5">
        <v>64.150000000000006</v>
      </c>
      <c r="N1166" s="5">
        <v>73.2</v>
      </c>
      <c r="O1166" s="5">
        <v>83.95</v>
      </c>
      <c r="P1166" s="5">
        <v>95.79</v>
      </c>
    </row>
    <row r="1167" spans="1:16" ht="15" customHeight="1" x14ac:dyDescent="0.35">
      <c r="A1167" s="1">
        <v>49</v>
      </c>
      <c r="B1167" s="5">
        <v>7.47</v>
      </c>
      <c r="C1167" s="5">
        <v>9.34</v>
      </c>
      <c r="D1167" s="5">
        <v>11.18</v>
      </c>
      <c r="E1167" s="5">
        <v>13.55</v>
      </c>
      <c r="F1167" s="5">
        <v>16.95</v>
      </c>
      <c r="G1167" s="5">
        <v>20.47</v>
      </c>
      <c r="H1167" s="5">
        <v>22.63</v>
      </c>
      <c r="I1167" s="5">
        <v>162.72</v>
      </c>
      <c r="J1167" s="5">
        <v>11.3</v>
      </c>
      <c r="K1167" s="5">
        <v>124.35</v>
      </c>
      <c r="L1167" s="5">
        <v>19.97</v>
      </c>
      <c r="M1167" s="5">
        <v>65.06</v>
      </c>
      <c r="N1167" s="5">
        <v>74.23</v>
      </c>
      <c r="O1167" s="5">
        <v>85.14</v>
      </c>
      <c r="P1167" s="5">
        <v>97.13</v>
      </c>
    </row>
    <row r="1168" spans="1:16" ht="15" customHeight="1" x14ac:dyDescent="0.35">
      <c r="A1168" s="1">
        <v>50</v>
      </c>
      <c r="B1168" s="5">
        <v>7.47</v>
      </c>
      <c r="C1168" s="5">
        <v>9.34</v>
      </c>
      <c r="D1168" s="5">
        <v>11.18</v>
      </c>
      <c r="E1168" s="5">
        <v>13.56</v>
      </c>
      <c r="F1168" s="5">
        <v>17.09</v>
      </c>
      <c r="G1168" s="5">
        <v>20.65</v>
      </c>
      <c r="H1168" s="5">
        <v>22.95</v>
      </c>
      <c r="I1168" s="5">
        <v>165.45</v>
      </c>
      <c r="J1168" s="5">
        <v>11.63</v>
      </c>
      <c r="K1168" s="5">
        <v>126.44</v>
      </c>
      <c r="L1168" s="5">
        <v>20.29</v>
      </c>
      <c r="M1168" s="5">
        <v>65.989999999999995</v>
      </c>
      <c r="N1168" s="5">
        <v>75.209999999999994</v>
      </c>
      <c r="O1168" s="5">
        <v>86.35</v>
      </c>
      <c r="P1168" s="5">
        <v>98.42</v>
      </c>
    </row>
    <row r="1169" spans="1:16" ht="15" customHeight="1" x14ac:dyDescent="0.35">
      <c r="A1169" s="1">
        <v>51</v>
      </c>
      <c r="B1169" s="5">
        <v>7.47</v>
      </c>
      <c r="C1169" s="5">
        <v>9.35</v>
      </c>
      <c r="D1169" s="5">
        <v>11.24</v>
      </c>
      <c r="E1169" s="5">
        <v>13.63</v>
      </c>
      <c r="F1169" s="5">
        <v>17.3</v>
      </c>
      <c r="G1169" s="5">
        <v>20.9</v>
      </c>
      <c r="H1169" s="5">
        <v>23.48</v>
      </c>
      <c r="I1169" s="5">
        <v>169.77</v>
      </c>
      <c r="J1169" s="5">
        <v>11.79</v>
      </c>
      <c r="K1169" s="5">
        <v>129.74</v>
      </c>
      <c r="L1169" s="5">
        <v>20.64</v>
      </c>
      <c r="M1169" s="5">
        <v>67.12</v>
      </c>
      <c r="N1169" s="5">
        <v>76.540000000000006</v>
      </c>
      <c r="O1169" s="5">
        <v>87.83</v>
      </c>
      <c r="P1169" s="5">
        <v>100.16</v>
      </c>
    </row>
    <row r="1170" spans="1:16" ht="15" customHeight="1" x14ac:dyDescent="0.35">
      <c r="A1170" s="1">
        <v>52</v>
      </c>
      <c r="B1170" s="5">
        <v>7.48</v>
      </c>
      <c r="C1170" s="5">
        <v>9.35</v>
      </c>
      <c r="D1170" s="5">
        <v>11.24</v>
      </c>
      <c r="E1170" s="5">
        <v>13.64</v>
      </c>
      <c r="F1170" s="5">
        <v>17.309999999999999</v>
      </c>
      <c r="G1170" s="5">
        <v>20.91</v>
      </c>
      <c r="H1170" s="5">
        <v>23.48</v>
      </c>
      <c r="I1170" s="5">
        <v>170.12</v>
      </c>
      <c r="J1170" s="5">
        <v>12.06</v>
      </c>
      <c r="K1170" s="5">
        <v>130</v>
      </c>
      <c r="L1170" s="5">
        <v>21.02</v>
      </c>
      <c r="M1170" s="5">
        <v>67.87</v>
      </c>
      <c r="N1170" s="5">
        <v>77.510000000000005</v>
      </c>
      <c r="O1170" s="5">
        <v>88.81</v>
      </c>
      <c r="P1170" s="5">
        <v>101.42</v>
      </c>
    </row>
    <row r="1171" spans="1:16" ht="15" customHeight="1" x14ac:dyDescent="0.35">
      <c r="A1171" s="1">
        <v>53</v>
      </c>
      <c r="B1171" s="5">
        <v>7.48</v>
      </c>
      <c r="C1171" s="5">
        <v>9.35</v>
      </c>
      <c r="D1171" s="5">
        <v>11.25</v>
      </c>
      <c r="E1171" s="5">
        <v>13.77</v>
      </c>
      <c r="F1171" s="5">
        <v>17.309999999999999</v>
      </c>
      <c r="G1171" s="5">
        <v>20.91</v>
      </c>
      <c r="H1171" s="5">
        <v>23.71</v>
      </c>
      <c r="I1171" s="5">
        <v>172.69</v>
      </c>
      <c r="J1171" s="5">
        <v>12.18</v>
      </c>
      <c r="K1171" s="5">
        <v>131.97</v>
      </c>
      <c r="L1171" s="5">
        <v>21.49</v>
      </c>
      <c r="M1171" s="5">
        <v>68.63</v>
      </c>
      <c r="N1171" s="5">
        <v>78.510000000000005</v>
      </c>
      <c r="O1171" s="5">
        <v>89.81</v>
      </c>
      <c r="P1171" s="5">
        <v>102.74</v>
      </c>
    </row>
    <row r="1172" spans="1:16" ht="15" customHeight="1" x14ac:dyDescent="0.35">
      <c r="A1172" s="1">
        <v>54</v>
      </c>
      <c r="B1172" s="5">
        <v>7.48</v>
      </c>
      <c r="C1172" s="5">
        <v>9.36</v>
      </c>
      <c r="D1172" s="5">
        <v>11.26</v>
      </c>
      <c r="E1172" s="5">
        <v>13.8</v>
      </c>
      <c r="F1172" s="5">
        <v>17.32</v>
      </c>
      <c r="G1172" s="5">
        <v>20.91</v>
      </c>
      <c r="H1172" s="5">
        <v>23.71</v>
      </c>
      <c r="I1172" s="5">
        <v>175.14</v>
      </c>
      <c r="J1172" s="5">
        <v>12.42</v>
      </c>
      <c r="K1172" s="5">
        <v>133.84</v>
      </c>
      <c r="L1172" s="5">
        <v>21.66</v>
      </c>
      <c r="M1172" s="5">
        <v>69.349999999999994</v>
      </c>
      <c r="N1172" s="5">
        <v>79.47</v>
      </c>
      <c r="O1172" s="5">
        <v>90.75</v>
      </c>
      <c r="P1172" s="5">
        <v>104</v>
      </c>
    </row>
    <row r="1173" spans="1:16" ht="15" customHeight="1" x14ac:dyDescent="0.35">
      <c r="A1173" s="1">
        <v>55</v>
      </c>
      <c r="B1173" s="5">
        <v>7.48</v>
      </c>
      <c r="C1173" s="5">
        <v>9.36</v>
      </c>
      <c r="D1173" s="5">
        <v>11.27</v>
      </c>
      <c r="E1173" s="5">
        <v>13.8</v>
      </c>
      <c r="F1173" s="5">
        <v>17.32</v>
      </c>
      <c r="G1173" s="5">
        <v>20.92</v>
      </c>
      <c r="H1173" s="5">
        <v>23.71</v>
      </c>
      <c r="I1173" s="5">
        <v>177.49</v>
      </c>
      <c r="J1173" s="5">
        <v>12.65</v>
      </c>
      <c r="K1173" s="5">
        <v>135.63999999999999</v>
      </c>
      <c r="L1173" s="5">
        <v>21.97</v>
      </c>
      <c r="M1173" s="5">
        <v>70.12</v>
      </c>
      <c r="N1173" s="5">
        <v>80.5</v>
      </c>
      <c r="O1173" s="5">
        <v>91.76</v>
      </c>
      <c r="P1173" s="5">
        <v>105.34</v>
      </c>
    </row>
    <row r="1174" spans="1:16" ht="15" customHeight="1" x14ac:dyDescent="0.35">
      <c r="A1174" s="1">
        <v>56</v>
      </c>
      <c r="B1174" s="5">
        <v>7.49</v>
      </c>
      <c r="C1174" s="5">
        <v>9.36</v>
      </c>
      <c r="D1174" s="5">
        <v>11.27</v>
      </c>
      <c r="E1174" s="5">
        <v>13.8</v>
      </c>
      <c r="F1174" s="5">
        <v>17.32</v>
      </c>
      <c r="G1174" s="5">
        <v>20.92</v>
      </c>
      <c r="H1174" s="5">
        <v>24.01</v>
      </c>
      <c r="I1174" s="5">
        <v>179.89</v>
      </c>
      <c r="J1174" s="5">
        <v>13.01</v>
      </c>
      <c r="K1174" s="5">
        <v>137.47</v>
      </c>
      <c r="L1174" s="5">
        <v>22.29</v>
      </c>
      <c r="M1174" s="5">
        <v>70.790000000000006</v>
      </c>
      <c r="N1174" s="5">
        <v>81.38</v>
      </c>
      <c r="O1174" s="5">
        <v>92.63</v>
      </c>
      <c r="P1174" s="5">
        <v>106.49</v>
      </c>
    </row>
    <row r="1175" spans="1:16" ht="15" customHeight="1" x14ac:dyDescent="0.35">
      <c r="A1175" s="1">
        <v>57</v>
      </c>
      <c r="B1175" s="5">
        <v>7.62</v>
      </c>
      <c r="C1175" s="5">
        <v>9.41</v>
      </c>
      <c r="D1175" s="5">
        <v>11.27</v>
      </c>
      <c r="E1175" s="5">
        <v>14.22</v>
      </c>
      <c r="F1175" s="5">
        <v>17.329999999999998</v>
      </c>
      <c r="G1175" s="5">
        <v>20.93</v>
      </c>
      <c r="H1175" s="5">
        <v>24.25</v>
      </c>
      <c r="I1175" s="5">
        <v>182.37</v>
      </c>
      <c r="J1175" s="5">
        <v>13.08</v>
      </c>
      <c r="K1175" s="5">
        <v>139.36000000000001</v>
      </c>
      <c r="L1175" s="5">
        <v>22.59</v>
      </c>
      <c r="M1175" s="5">
        <v>71.42</v>
      </c>
      <c r="N1175" s="5">
        <v>82.18</v>
      </c>
      <c r="O1175" s="5">
        <v>93.46</v>
      </c>
      <c r="P1175" s="5">
        <v>107.54</v>
      </c>
    </row>
    <row r="1176" spans="1:16" ht="15" customHeight="1" x14ac:dyDescent="0.35">
      <c r="A1176" s="1">
        <v>58</v>
      </c>
      <c r="B1176" s="5">
        <v>7.63</v>
      </c>
      <c r="C1176" s="5">
        <v>9.41</v>
      </c>
      <c r="D1176" s="5">
        <v>11.28</v>
      </c>
      <c r="E1176" s="5">
        <v>14.22</v>
      </c>
      <c r="F1176" s="5">
        <v>17.329999999999998</v>
      </c>
      <c r="G1176" s="5">
        <v>20.93</v>
      </c>
      <c r="H1176" s="5">
        <v>24.47</v>
      </c>
      <c r="I1176" s="5">
        <v>184.75</v>
      </c>
      <c r="J1176" s="5">
        <v>13.32</v>
      </c>
      <c r="K1176" s="5">
        <v>141.18</v>
      </c>
      <c r="L1176" s="5">
        <v>22.92</v>
      </c>
      <c r="M1176" s="5">
        <v>72.069999999999993</v>
      </c>
      <c r="N1176" s="5">
        <v>83.02</v>
      </c>
      <c r="O1176" s="5">
        <v>94.31</v>
      </c>
      <c r="P1176" s="5">
        <v>108.63</v>
      </c>
    </row>
    <row r="1177" spans="1:16" ht="15" customHeight="1" x14ac:dyDescent="0.35">
      <c r="A1177" s="1">
        <v>59</v>
      </c>
      <c r="B1177" s="5">
        <v>7.63</v>
      </c>
      <c r="C1177" s="5">
        <v>9.42</v>
      </c>
      <c r="D1177" s="5">
        <v>11.36</v>
      </c>
      <c r="E1177" s="5">
        <v>14.23</v>
      </c>
      <c r="F1177" s="5">
        <v>17.45</v>
      </c>
      <c r="G1177" s="5">
        <v>20.93</v>
      </c>
      <c r="H1177" s="5">
        <v>24.88</v>
      </c>
      <c r="I1177" s="5">
        <v>187.56</v>
      </c>
      <c r="J1177" s="5">
        <v>13.57</v>
      </c>
      <c r="K1177" s="5">
        <v>143.33000000000001</v>
      </c>
      <c r="L1177" s="5">
        <v>23.22</v>
      </c>
      <c r="M1177" s="5">
        <v>72.760000000000005</v>
      </c>
      <c r="N1177" s="5">
        <v>83.82</v>
      </c>
      <c r="O1177" s="5">
        <v>95.22</v>
      </c>
      <c r="P1177" s="5">
        <v>109.69</v>
      </c>
    </row>
    <row r="1178" spans="1:16" ht="15" customHeight="1" x14ac:dyDescent="0.35">
      <c r="A1178" s="1">
        <v>60</v>
      </c>
      <c r="B1178" s="5">
        <v>7.84</v>
      </c>
      <c r="C1178" s="5">
        <v>9.7899999999999991</v>
      </c>
      <c r="D1178" s="5">
        <v>11.55</v>
      </c>
      <c r="E1178" s="5">
        <v>14.73</v>
      </c>
      <c r="F1178" s="5">
        <v>17.78</v>
      </c>
      <c r="G1178" s="5">
        <v>21.01</v>
      </c>
      <c r="H1178" s="5">
        <v>25.03</v>
      </c>
      <c r="I1178" s="5">
        <v>190.48</v>
      </c>
      <c r="J1178" s="5">
        <v>13.86</v>
      </c>
      <c r="K1178" s="5">
        <v>145.56</v>
      </c>
      <c r="L1178" s="5">
        <v>23.54</v>
      </c>
      <c r="M1178" s="5">
        <v>73.400000000000006</v>
      </c>
      <c r="N1178" s="5">
        <v>84.65</v>
      </c>
      <c r="O1178" s="5">
        <v>96.05</v>
      </c>
      <c r="P1178" s="5">
        <v>110.77</v>
      </c>
    </row>
    <row r="1179" spans="1:16" ht="15" customHeight="1" x14ac:dyDescent="0.35">
      <c r="A1179" s="1">
        <v>61</v>
      </c>
      <c r="B1179" s="5">
        <v>7.85</v>
      </c>
      <c r="C1179" s="5">
        <v>9.81</v>
      </c>
      <c r="D1179" s="5">
        <v>11.66</v>
      </c>
      <c r="E1179" s="5">
        <v>14.77</v>
      </c>
      <c r="F1179" s="5">
        <v>17.78</v>
      </c>
      <c r="G1179" s="5">
        <v>21.01</v>
      </c>
      <c r="H1179" s="5">
        <v>25.03</v>
      </c>
      <c r="I1179" s="5">
        <v>192.83</v>
      </c>
      <c r="J1179" s="5">
        <v>14.09</v>
      </c>
      <c r="K1179" s="5">
        <v>147.36000000000001</v>
      </c>
      <c r="L1179" s="5">
        <v>23.84</v>
      </c>
      <c r="M1179" s="5">
        <v>74.09</v>
      </c>
      <c r="N1179" s="5">
        <v>85.4</v>
      </c>
      <c r="O1179" s="5">
        <v>96.95</v>
      </c>
      <c r="P1179" s="5">
        <v>111.75</v>
      </c>
    </row>
    <row r="1180" spans="1:16" ht="15" customHeight="1" x14ac:dyDescent="0.35">
      <c r="A1180" s="1">
        <v>62</v>
      </c>
      <c r="B1180" s="5">
        <v>8.17</v>
      </c>
      <c r="C1180" s="5">
        <v>10.51</v>
      </c>
      <c r="D1180" s="5">
        <v>11.85</v>
      </c>
      <c r="E1180" s="5">
        <v>15.18</v>
      </c>
      <c r="F1180" s="5">
        <v>18.05</v>
      </c>
      <c r="G1180" s="5">
        <v>21.33</v>
      </c>
      <c r="H1180" s="5">
        <v>25.33</v>
      </c>
      <c r="I1180" s="5">
        <v>196</v>
      </c>
      <c r="J1180" s="5">
        <v>14.2</v>
      </c>
      <c r="K1180" s="5">
        <v>149.78</v>
      </c>
      <c r="L1180" s="5">
        <v>24.15</v>
      </c>
      <c r="M1180" s="5">
        <v>74.77</v>
      </c>
      <c r="N1180" s="5">
        <v>86.11</v>
      </c>
      <c r="O1180" s="5">
        <v>97.84</v>
      </c>
      <c r="P1180" s="5">
        <v>112.68</v>
      </c>
    </row>
    <row r="1181" spans="1:16" ht="15" customHeight="1" x14ac:dyDescent="0.35">
      <c r="A1181" s="1">
        <v>63</v>
      </c>
      <c r="B1181" s="5">
        <v>8.17</v>
      </c>
      <c r="C1181" s="5">
        <v>10.52</v>
      </c>
      <c r="D1181" s="5">
        <v>11.97</v>
      </c>
      <c r="E1181" s="5">
        <v>15.19</v>
      </c>
      <c r="F1181" s="5">
        <v>18.18</v>
      </c>
      <c r="G1181" s="5">
        <v>21.51</v>
      </c>
      <c r="H1181" s="5">
        <v>25.49</v>
      </c>
      <c r="I1181" s="5">
        <v>199.21</v>
      </c>
      <c r="J1181" s="5">
        <v>14.37</v>
      </c>
      <c r="K1181" s="5">
        <v>152.24</v>
      </c>
      <c r="L1181" s="5">
        <v>24.47</v>
      </c>
      <c r="M1181" s="5">
        <v>75.430000000000007</v>
      </c>
      <c r="N1181" s="5">
        <v>86.87</v>
      </c>
      <c r="O1181" s="5">
        <v>98.71</v>
      </c>
      <c r="P1181" s="5">
        <v>113.68</v>
      </c>
    </row>
    <row r="1182" spans="1:16" ht="15" customHeight="1" x14ac:dyDescent="0.35">
      <c r="A1182" s="1">
        <v>64</v>
      </c>
      <c r="B1182" s="5">
        <v>8.39</v>
      </c>
      <c r="C1182" s="5">
        <v>10.52</v>
      </c>
      <c r="D1182" s="5">
        <v>12.16</v>
      </c>
      <c r="E1182" s="5">
        <v>15.19</v>
      </c>
      <c r="F1182" s="5">
        <v>18.309999999999999</v>
      </c>
      <c r="G1182" s="5">
        <v>21.51</v>
      </c>
      <c r="H1182" s="5">
        <v>25.64</v>
      </c>
      <c r="I1182" s="5">
        <v>202.53</v>
      </c>
      <c r="J1182" s="5">
        <v>14.6</v>
      </c>
      <c r="K1182" s="5">
        <v>154.77000000000001</v>
      </c>
      <c r="L1182" s="5">
        <v>24.78</v>
      </c>
      <c r="M1182" s="5">
        <v>76.05</v>
      </c>
      <c r="N1182" s="5">
        <v>87.57</v>
      </c>
      <c r="O1182" s="5">
        <v>99.52</v>
      </c>
      <c r="P1182" s="5">
        <v>114.59</v>
      </c>
    </row>
    <row r="1183" spans="1:16" ht="15" customHeight="1" x14ac:dyDescent="0.35">
      <c r="A1183" s="1">
        <v>65</v>
      </c>
      <c r="B1183" s="5">
        <v>8.48</v>
      </c>
      <c r="C1183" s="5">
        <v>10.8</v>
      </c>
      <c r="D1183" s="5">
        <v>12.17</v>
      </c>
      <c r="E1183" s="5">
        <v>15.2</v>
      </c>
      <c r="F1183" s="5">
        <v>18.47</v>
      </c>
      <c r="G1183" s="5">
        <v>21.56</v>
      </c>
      <c r="H1183" s="5">
        <v>25.69</v>
      </c>
      <c r="I1183" s="5">
        <v>205.84</v>
      </c>
      <c r="J1183" s="5">
        <v>15</v>
      </c>
      <c r="K1183" s="5">
        <v>157.30000000000001</v>
      </c>
      <c r="L1183" s="5">
        <v>25.12</v>
      </c>
      <c r="M1183" s="5">
        <v>76.7</v>
      </c>
      <c r="N1183" s="5">
        <v>88.34</v>
      </c>
      <c r="O1183" s="5">
        <v>100.36</v>
      </c>
      <c r="P1183" s="5">
        <v>115.6</v>
      </c>
    </row>
    <row r="1184" spans="1:16" ht="15" customHeight="1" x14ac:dyDescent="0.35">
      <c r="A1184" s="1">
        <v>66</v>
      </c>
      <c r="B1184" s="5">
        <v>8.52</v>
      </c>
      <c r="C1184" s="5">
        <v>10.91</v>
      </c>
      <c r="D1184" s="5">
        <v>12.17</v>
      </c>
      <c r="E1184" s="5">
        <v>15.2</v>
      </c>
      <c r="F1184" s="5">
        <v>18.48</v>
      </c>
      <c r="G1184" s="5">
        <v>21.63</v>
      </c>
      <c r="H1184" s="5">
        <v>25.8</v>
      </c>
      <c r="I1184" s="5">
        <v>209.02</v>
      </c>
      <c r="J1184" s="5">
        <v>15.15</v>
      </c>
      <c r="K1184" s="5">
        <v>159.72999999999999</v>
      </c>
      <c r="L1184" s="5">
        <v>25.43</v>
      </c>
      <c r="M1184" s="5">
        <v>77.25</v>
      </c>
      <c r="N1184" s="5">
        <v>89.06</v>
      </c>
      <c r="O1184" s="5">
        <v>101.08</v>
      </c>
      <c r="P1184" s="5">
        <v>116.55</v>
      </c>
    </row>
    <row r="1185" spans="1:16" ht="15" customHeight="1" x14ac:dyDescent="0.35">
      <c r="A1185" s="1">
        <v>67</v>
      </c>
      <c r="B1185" s="5">
        <v>8.5299999999999994</v>
      </c>
      <c r="C1185" s="5">
        <v>10.91</v>
      </c>
      <c r="D1185" s="5">
        <v>12.17</v>
      </c>
      <c r="E1185" s="5">
        <v>15.23</v>
      </c>
      <c r="F1185" s="5">
        <v>18.62</v>
      </c>
      <c r="G1185" s="5">
        <v>21.73</v>
      </c>
      <c r="H1185" s="5">
        <v>26.04</v>
      </c>
      <c r="I1185" s="5">
        <v>212.2</v>
      </c>
      <c r="J1185" s="5">
        <v>15.27</v>
      </c>
      <c r="K1185" s="5">
        <v>162.16</v>
      </c>
      <c r="L1185" s="5">
        <v>25.73</v>
      </c>
      <c r="M1185" s="5">
        <v>77.849999999999994</v>
      </c>
      <c r="N1185" s="5">
        <v>89.79</v>
      </c>
      <c r="O1185" s="5">
        <v>101.87</v>
      </c>
      <c r="P1185" s="5">
        <v>117.5</v>
      </c>
    </row>
    <row r="1186" spans="1:16" ht="15" customHeight="1" x14ac:dyDescent="0.35">
      <c r="A1186" s="1">
        <v>68</v>
      </c>
      <c r="B1186" s="5">
        <v>8.6199999999999992</v>
      </c>
      <c r="C1186" s="5">
        <v>11.11</v>
      </c>
      <c r="D1186" s="5">
        <v>12.91</v>
      </c>
      <c r="E1186" s="5">
        <v>15.57</v>
      </c>
      <c r="F1186" s="5">
        <v>18.899999999999999</v>
      </c>
      <c r="G1186" s="5">
        <v>22.06</v>
      </c>
      <c r="H1186" s="5">
        <v>26.04</v>
      </c>
      <c r="I1186" s="5">
        <v>215.25</v>
      </c>
      <c r="J1186" s="5">
        <v>15.84</v>
      </c>
      <c r="K1186" s="5">
        <v>164.49</v>
      </c>
      <c r="L1186" s="5">
        <v>26.07</v>
      </c>
      <c r="M1186" s="5">
        <v>78.38</v>
      </c>
      <c r="N1186" s="5">
        <v>90.55</v>
      </c>
      <c r="O1186" s="5">
        <v>102.56</v>
      </c>
      <c r="P1186" s="5">
        <v>118.49</v>
      </c>
    </row>
    <row r="1187" spans="1:16" ht="15" customHeight="1" x14ac:dyDescent="0.35">
      <c r="A1187" s="1">
        <v>69</v>
      </c>
      <c r="B1187" s="5">
        <v>8.8000000000000007</v>
      </c>
      <c r="C1187" s="5">
        <v>11.22</v>
      </c>
      <c r="D1187" s="5">
        <v>13.04</v>
      </c>
      <c r="E1187" s="5">
        <v>15.68</v>
      </c>
      <c r="F1187" s="5">
        <v>19</v>
      </c>
      <c r="G1187" s="5">
        <v>22.07</v>
      </c>
      <c r="H1187" s="5">
        <v>26.18</v>
      </c>
      <c r="I1187" s="5">
        <v>218.38</v>
      </c>
      <c r="J1187" s="5">
        <v>15.85</v>
      </c>
      <c r="K1187" s="5">
        <v>166.88</v>
      </c>
      <c r="L1187" s="5">
        <v>26.38</v>
      </c>
      <c r="M1187" s="5">
        <v>78.98</v>
      </c>
      <c r="N1187" s="5">
        <v>91.27</v>
      </c>
      <c r="O1187" s="5">
        <v>103.36</v>
      </c>
      <c r="P1187" s="5">
        <v>119.44</v>
      </c>
    </row>
    <row r="1188" spans="1:16" ht="15" customHeight="1" x14ac:dyDescent="0.35">
      <c r="A1188" s="1">
        <v>70</v>
      </c>
      <c r="B1188" s="5">
        <v>8.84</v>
      </c>
      <c r="C1188" s="5">
        <v>11.38</v>
      </c>
      <c r="D1188" s="5">
        <v>13.32</v>
      </c>
      <c r="E1188" s="5">
        <v>16.440000000000001</v>
      </c>
      <c r="F1188" s="5">
        <v>19.38</v>
      </c>
      <c r="G1188" s="5">
        <v>22.07</v>
      </c>
      <c r="H1188" s="5">
        <v>26.4</v>
      </c>
      <c r="I1188" s="5">
        <v>222.97</v>
      </c>
      <c r="J1188" s="5">
        <v>16.21</v>
      </c>
      <c r="K1188" s="5">
        <v>170.39</v>
      </c>
      <c r="L1188" s="5">
        <v>26.69</v>
      </c>
      <c r="M1188" s="5">
        <v>79.59</v>
      </c>
      <c r="N1188" s="5">
        <v>91.99</v>
      </c>
      <c r="O1188" s="5">
        <v>104.15</v>
      </c>
      <c r="P1188" s="5">
        <v>120.38</v>
      </c>
    </row>
    <row r="1189" spans="1:16" ht="15" customHeight="1" x14ac:dyDescent="0.35">
      <c r="A1189" s="1">
        <v>71</v>
      </c>
      <c r="B1189" s="5">
        <v>8.85</v>
      </c>
      <c r="C1189" s="5">
        <v>11.38</v>
      </c>
      <c r="D1189" s="5">
        <v>13.52</v>
      </c>
      <c r="E1189" s="5">
        <v>16.440000000000001</v>
      </c>
      <c r="F1189" s="5">
        <v>19.5</v>
      </c>
      <c r="G1189" s="5">
        <v>22.43</v>
      </c>
      <c r="H1189" s="5">
        <v>26.41</v>
      </c>
      <c r="I1189" s="5">
        <v>226.4</v>
      </c>
      <c r="J1189" s="5">
        <v>16.41</v>
      </c>
      <c r="K1189" s="5">
        <v>173.01</v>
      </c>
      <c r="L1189" s="5">
        <v>26.96</v>
      </c>
      <c r="M1189" s="5">
        <v>80.13</v>
      </c>
      <c r="N1189" s="5">
        <v>92.72</v>
      </c>
      <c r="O1189" s="5">
        <v>104.86</v>
      </c>
      <c r="P1189" s="5">
        <v>121.33</v>
      </c>
    </row>
    <row r="1190" spans="1:16" ht="15" customHeight="1" x14ac:dyDescent="0.35">
      <c r="A1190" s="1">
        <v>72</v>
      </c>
      <c r="B1190" s="5">
        <v>9.1</v>
      </c>
      <c r="C1190" s="5">
        <v>11.38</v>
      </c>
      <c r="D1190" s="5">
        <v>13.81</v>
      </c>
      <c r="E1190" s="5">
        <v>16.45</v>
      </c>
      <c r="F1190" s="5">
        <v>19.829999999999998</v>
      </c>
      <c r="G1190" s="5">
        <v>23.38</v>
      </c>
      <c r="H1190" s="5">
        <v>26.45</v>
      </c>
      <c r="I1190" s="5">
        <v>229.77</v>
      </c>
      <c r="J1190" s="5">
        <v>17.5</v>
      </c>
      <c r="K1190" s="5">
        <v>175.58</v>
      </c>
      <c r="L1190" s="5">
        <v>28.18</v>
      </c>
      <c r="M1190" s="5">
        <v>80.75</v>
      </c>
      <c r="N1190" s="5">
        <v>93.45</v>
      </c>
      <c r="O1190" s="5">
        <v>105.66</v>
      </c>
      <c r="P1190" s="5">
        <v>122.29</v>
      </c>
    </row>
    <row r="1191" spans="1:16" ht="15" customHeight="1" x14ac:dyDescent="0.35">
      <c r="A1191" s="1">
        <v>73</v>
      </c>
      <c r="B1191" s="5">
        <v>9.16</v>
      </c>
      <c r="C1191" s="5">
        <v>11.49</v>
      </c>
      <c r="D1191" s="5">
        <v>13.81</v>
      </c>
      <c r="E1191" s="5">
        <v>16.690000000000001</v>
      </c>
      <c r="F1191" s="5">
        <v>20.04</v>
      </c>
      <c r="G1191" s="5">
        <v>23.43</v>
      </c>
      <c r="H1191" s="5">
        <v>26.45</v>
      </c>
      <c r="I1191" s="5">
        <v>233.13</v>
      </c>
      <c r="J1191" s="5">
        <v>17.68</v>
      </c>
      <c r="K1191" s="5">
        <v>178.16</v>
      </c>
      <c r="L1191" s="5">
        <v>29.08</v>
      </c>
      <c r="M1191" s="5">
        <v>81.3</v>
      </c>
      <c r="N1191" s="5">
        <v>94.21</v>
      </c>
      <c r="O1191" s="5">
        <v>106.39</v>
      </c>
      <c r="P1191" s="5">
        <v>123.28</v>
      </c>
    </row>
    <row r="1192" spans="1:16" ht="15" customHeight="1" x14ac:dyDescent="0.35">
      <c r="A1192" s="1">
        <v>74</v>
      </c>
      <c r="B1192" s="5">
        <v>9.4</v>
      </c>
      <c r="C1192" s="5">
        <v>11.49</v>
      </c>
      <c r="D1192" s="5">
        <v>13.82</v>
      </c>
      <c r="E1192" s="5">
        <v>16.7</v>
      </c>
      <c r="F1192" s="5">
        <v>20.350000000000001</v>
      </c>
      <c r="G1192" s="5">
        <v>23.43</v>
      </c>
      <c r="H1192" s="5">
        <v>26.46</v>
      </c>
      <c r="I1192" s="5">
        <v>235.38</v>
      </c>
      <c r="J1192" s="5">
        <v>18.95</v>
      </c>
      <c r="K1192" s="5">
        <v>179.87</v>
      </c>
      <c r="L1192" s="5">
        <v>30.28</v>
      </c>
      <c r="M1192" s="5">
        <v>81.97</v>
      </c>
      <c r="N1192" s="5">
        <v>94.93</v>
      </c>
      <c r="O1192" s="5">
        <v>107.26</v>
      </c>
      <c r="P1192" s="5">
        <v>124.22</v>
      </c>
    </row>
    <row r="1193" spans="1:16" ht="15" customHeight="1" x14ac:dyDescent="0.35">
      <c r="A1193" s="1">
        <v>75</v>
      </c>
      <c r="B1193" s="5">
        <v>9.75</v>
      </c>
      <c r="C1193" s="5">
        <v>11.5</v>
      </c>
      <c r="D1193" s="5">
        <v>13.82</v>
      </c>
      <c r="E1193" s="5">
        <v>16.829999999999998</v>
      </c>
      <c r="F1193" s="5">
        <v>20.350000000000001</v>
      </c>
      <c r="G1193" s="5">
        <v>23.67</v>
      </c>
      <c r="H1193" s="5">
        <v>26.46</v>
      </c>
      <c r="I1193" s="5">
        <v>238.04</v>
      </c>
      <c r="J1193" s="5">
        <v>20</v>
      </c>
      <c r="K1193" s="5">
        <v>181.91</v>
      </c>
      <c r="L1193" s="5">
        <v>30.65</v>
      </c>
      <c r="M1193" s="5">
        <v>82.71</v>
      </c>
      <c r="N1193" s="5">
        <v>95.7</v>
      </c>
      <c r="O1193" s="5">
        <v>108.24</v>
      </c>
      <c r="P1193" s="5">
        <v>125.23</v>
      </c>
    </row>
    <row r="1194" spans="1:16" ht="15" customHeight="1" x14ac:dyDescent="0.35">
      <c r="A1194" s="1">
        <v>76</v>
      </c>
      <c r="B1194" s="5">
        <v>10.5</v>
      </c>
      <c r="C1194" s="5">
        <v>12.14</v>
      </c>
      <c r="D1194" s="5">
        <v>13.91</v>
      </c>
      <c r="E1194" s="5">
        <v>17.079999999999998</v>
      </c>
      <c r="F1194" s="5">
        <v>20.8</v>
      </c>
      <c r="G1194" s="5">
        <v>24.05</v>
      </c>
      <c r="H1194" s="5">
        <v>26.71</v>
      </c>
      <c r="I1194" s="5">
        <v>240.98</v>
      </c>
      <c r="J1194" s="5">
        <v>20.73</v>
      </c>
      <c r="K1194" s="5">
        <v>184.15</v>
      </c>
      <c r="L1194" s="5">
        <v>31.56</v>
      </c>
      <c r="M1194" s="5">
        <v>83.47</v>
      </c>
      <c r="N1194" s="5">
        <v>96.41</v>
      </c>
      <c r="O1194" s="5">
        <v>109.23</v>
      </c>
      <c r="P1194" s="5">
        <v>126.16</v>
      </c>
    </row>
    <row r="1195" spans="1:16" ht="15" customHeight="1" x14ac:dyDescent="0.35">
      <c r="A1195" s="1">
        <v>77</v>
      </c>
      <c r="B1195" s="5">
        <v>10.91</v>
      </c>
      <c r="C1195" s="5">
        <v>12.32</v>
      </c>
      <c r="D1195" s="5">
        <v>14.07</v>
      </c>
      <c r="E1195" s="5">
        <v>17.16</v>
      </c>
      <c r="F1195" s="5">
        <v>20.92</v>
      </c>
      <c r="G1195" s="5">
        <v>24.73</v>
      </c>
      <c r="H1195" s="5">
        <v>26.71</v>
      </c>
      <c r="I1195" s="5">
        <v>242.96</v>
      </c>
      <c r="J1195" s="5">
        <v>21.58</v>
      </c>
      <c r="K1195" s="5">
        <v>185.67</v>
      </c>
      <c r="L1195" s="5">
        <v>32.75</v>
      </c>
      <c r="M1195" s="5">
        <v>84.2</v>
      </c>
      <c r="N1195" s="5">
        <v>97.18</v>
      </c>
      <c r="O1195" s="5">
        <v>110.18</v>
      </c>
      <c r="P1195" s="5">
        <v>127.17</v>
      </c>
    </row>
    <row r="1196" spans="1:16" ht="15" customHeight="1" x14ac:dyDescent="0.35">
      <c r="A1196" s="1">
        <v>78</v>
      </c>
      <c r="B1196" s="5">
        <v>10.92</v>
      </c>
      <c r="C1196" s="5">
        <v>12.78</v>
      </c>
      <c r="D1196" s="5">
        <v>14.48</v>
      </c>
      <c r="E1196" s="5">
        <v>17.34</v>
      </c>
      <c r="F1196" s="5">
        <v>21.05</v>
      </c>
      <c r="G1196" s="5">
        <v>24.92</v>
      </c>
      <c r="H1196" s="5">
        <v>26.72</v>
      </c>
      <c r="I1196" s="5">
        <v>244.27</v>
      </c>
      <c r="J1196" s="5">
        <v>22.47</v>
      </c>
      <c r="K1196" s="5">
        <v>186.67</v>
      </c>
      <c r="L1196" s="5">
        <v>33.69</v>
      </c>
      <c r="M1196" s="5">
        <v>85.04</v>
      </c>
      <c r="N1196" s="5">
        <v>97.88</v>
      </c>
      <c r="O1196" s="5">
        <v>111.29</v>
      </c>
      <c r="P1196" s="5">
        <v>128.08000000000001</v>
      </c>
    </row>
    <row r="1197" spans="1:16" ht="15" customHeight="1" x14ac:dyDescent="0.35">
      <c r="A1197" s="1">
        <v>79</v>
      </c>
      <c r="B1197" s="5">
        <v>11.42</v>
      </c>
      <c r="C1197" s="5">
        <v>13.31</v>
      </c>
      <c r="D1197" s="5">
        <v>14.84</v>
      </c>
      <c r="E1197" s="5">
        <v>17.62</v>
      </c>
      <c r="F1197" s="5">
        <v>21.49</v>
      </c>
      <c r="G1197" s="5">
        <v>25.3</v>
      </c>
      <c r="H1197" s="5">
        <v>27.15</v>
      </c>
      <c r="I1197" s="5">
        <v>244.31</v>
      </c>
      <c r="J1197" s="5">
        <v>23.37</v>
      </c>
      <c r="K1197" s="5">
        <v>186.7</v>
      </c>
      <c r="L1197" s="5">
        <v>34.6</v>
      </c>
      <c r="M1197" s="5">
        <v>85.89</v>
      </c>
      <c r="N1197" s="5">
        <v>98.66</v>
      </c>
      <c r="O1197" s="5">
        <v>112.39</v>
      </c>
      <c r="P1197" s="5">
        <v>129.1</v>
      </c>
    </row>
    <row r="1198" spans="1:16" ht="15" customHeight="1" x14ac:dyDescent="0.35">
      <c r="A1198" s="1">
        <v>80</v>
      </c>
      <c r="B1198" s="5">
        <v>11.73</v>
      </c>
      <c r="C1198" s="5">
        <v>13.57</v>
      </c>
      <c r="D1198" s="5">
        <v>14.91</v>
      </c>
      <c r="E1198" s="5">
        <v>18.04</v>
      </c>
      <c r="F1198" s="5">
        <v>21.85</v>
      </c>
      <c r="G1198" s="5">
        <v>25.65</v>
      </c>
      <c r="H1198" s="5">
        <v>27.36</v>
      </c>
      <c r="I1198" s="5">
        <v>246.86</v>
      </c>
      <c r="J1198" s="5">
        <v>24.47</v>
      </c>
      <c r="K1198" s="5">
        <v>188.65</v>
      </c>
      <c r="L1198" s="5">
        <v>35.21</v>
      </c>
      <c r="M1198" s="5">
        <v>86.7</v>
      </c>
      <c r="N1198" s="5">
        <v>99.35</v>
      </c>
      <c r="O1198" s="5">
        <v>113.46</v>
      </c>
      <c r="P1198" s="5">
        <v>130.01</v>
      </c>
    </row>
    <row r="1199" spans="1:16" ht="15" customHeight="1" x14ac:dyDescent="0.35">
      <c r="A1199" s="1">
        <v>81</v>
      </c>
      <c r="B1199" s="5">
        <v>12.01</v>
      </c>
      <c r="C1199" s="5">
        <v>13.68</v>
      </c>
      <c r="D1199" s="5">
        <v>15.27</v>
      </c>
      <c r="E1199" s="5">
        <v>18.16</v>
      </c>
      <c r="F1199" s="5">
        <v>22.13</v>
      </c>
      <c r="G1199" s="5">
        <v>25.81</v>
      </c>
      <c r="H1199" s="5">
        <v>27.45</v>
      </c>
      <c r="I1199" s="5">
        <v>248.93</v>
      </c>
      <c r="J1199" s="5">
        <v>24.89</v>
      </c>
      <c r="K1199" s="5">
        <v>190.23</v>
      </c>
      <c r="L1199" s="5">
        <v>37.130000000000003</v>
      </c>
      <c r="M1199" s="5">
        <v>87.52</v>
      </c>
      <c r="N1199" s="5">
        <v>100.12</v>
      </c>
      <c r="O1199" s="5">
        <v>114.53</v>
      </c>
      <c r="P1199" s="5">
        <v>131.01</v>
      </c>
    </row>
    <row r="1200" spans="1:16" ht="15" customHeight="1" x14ac:dyDescent="0.35">
      <c r="A1200" s="1">
        <v>82</v>
      </c>
      <c r="B1200" s="5">
        <v>12.4</v>
      </c>
      <c r="C1200" s="5">
        <v>14.01</v>
      </c>
      <c r="D1200" s="5">
        <v>15.96</v>
      </c>
      <c r="E1200" s="5">
        <v>18.62</v>
      </c>
      <c r="F1200" s="5">
        <v>22.19</v>
      </c>
      <c r="G1200" s="5">
        <v>26.48</v>
      </c>
      <c r="H1200" s="5">
        <v>27.46</v>
      </c>
      <c r="I1200" s="5">
        <v>250.17</v>
      </c>
      <c r="J1200" s="5">
        <v>26.54</v>
      </c>
      <c r="K1200" s="5">
        <v>191.18</v>
      </c>
      <c r="L1200" s="5">
        <v>37.700000000000003</v>
      </c>
      <c r="M1200" s="5">
        <v>88.27</v>
      </c>
      <c r="N1200" s="5">
        <v>100.83</v>
      </c>
      <c r="O1200" s="5">
        <v>115.51</v>
      </c>
      <c r="P1200" s="5">
        <v>131.94999999999999</v>
      </c>
    </row>
    <row r="1201" spans="1:16" ht="15" customHeight="1" x14ac:dyDescent="0.35">
      <c r="A1201" s="1">
        <v>83</v>
      </c>
      <c r="B1201" s="5">
        <v>12.41</v>
      </c>
      <c r="C1201" s="5">
        <v>14.02</v>
      </c>
      <c r="D1201" s="5">
        <v>15.96</v>
      </c>
      <c r="E1201" s="5">
        <v>18.62</v>
      </c>
      <c r="F1201" s="5">
        <v>22.26</v>
      </c>
      <c r="G1201" s="5">
        <v>26.48</v>
      </c>
      <c r="H1201" s="5">
        <v>27.46</v>
      </c>
      <c r="I1201" s="5">
        <v>252.9</v>
      </c>
      <c r="J1201" s="5">
        <v>27.44</v>
      </c>
      <c r="K1201" s="5">
        <v>193.26</v>
      </c>
      <c r="L1201" s="5">
        <v>38.28</v>
      </c>
      <c r="M1201" s="5">
        <v>89.02</v>
      </c>
      <c r="N1201" s="5">
        <v>101.61</v>
      </c>
      <c r="O1201" s="5">
        <v>116.49</v>
      </c>
      <c r="P1201" s="5">
        <v>132.96</v>
      </c>
    </row>
    <row r="1202" spans="1:16" ht="15" customHeight="1" x14ac:dyDescent="0.35">
      <c r="A1202" s="1">
        <v>84</v>
      </c>
      <c r="B1202" s="5">
        <v>12.9</v>
      </c>
      <c r="C1202" s="5">
        <v>14.57</v>
      </c>
      <c r="D1202" s="5">
        <v>16.43</v>
      </c>
      <c r="E1202" s="5">
        <v>18.809999999999999</v>
      </c>
      <c r="F1202" s="5">
        <v>22.8</v>
      </c>
      <c r="G1202" s="5">
        <v>26.79</v>
      </c>
      <c r="H1202" s="5">
        <v>27.67</v>
      </c>
      <c r="I1202" s="5">
        <v>255.82</v>
      </c>
      <c r="J1202" s="5">
        <v>27.53</v>
      </c>
      <c r="K1202" s="5">
        <v>195.49</v>
      </c>
      <c r="L1202" s="5">
        <v>39.24</v>
      </c>
      <c r="M1202" s="5">
        <v>89.78</v>
      </c>
      <c r="N1202" s="5">
        <v>102.33</v>
      </c>
      <c r="O1202" s="5">
        <v>117.49</v>
      </c>
      <c r="P1202" s="5">
        <v>133.91</v>
      </c>
    </row>
    <row r="1203" spans="1:16" ht="15" customHeight="1" x14ac:dyDescent="0.35">
      <c r="A1203" s="1">
        <v>85</v>
      </c>
      <c r="B1203" s="5">
        <v>13.25</v>
      </c>
      <c r="C1203" s="5">
        <v>14.57</v>
      </c>
      <c r="D1203" s="5">
        <v>16.440000000000001</v>
      </c>
      <c r="E1203" s="5">
        <v>19.11</v>
      </c>
      <c r="F1203" s="5">
        <v>22.94</v>
      </c>
      <c r="G1203" s="5">
        <v>27.08</v>
      </c>
      <c r="H1203" s="5">
        <v>27.97</v>
      </c>
      <c r="I1203" s="5">
        <v>258.8</v>
      </c>
      <c r="J1203" s="5">
        <v>28.69</v>
      </c>
      <c r="K1203" s="5">
        <v>197.77</v>
      </c>
      <c r="L1203" s="5">
        <v>40.51</v>
      </c>
      <c r="M1203" s="5">
        <v>90.52</v>
      </c>
      <c r="N1203" s="5">
        <v>103.07</v>
      </c>
      <c r="O1203" s="5">
        <v>118.46</v>
      </c>
      <c r="P1203" s="5">
        <v>134.88</v>
      </c>
    </row>
    <row r="1204" spans="1:16" ht="15" customHeight="1" x14ac:dyDescent="0.35">
      <c r="A1204" s="1">
        <v>86</v>
      </c>
      <c r="B1204" s="5">
        <v>13.73</v>
      </c>
      <c r="C1204" s="5">
        <v>15.38</v>
      </c>
      <c r="D1204" s="5">
        <v>17.079999999999998</v>
      </c>
      <c r="E1204" s="5">
        <v>19.47</v>
      </c>
      <c r="F1204" s="5">
        <v>23.43</v>
      </c>
      <c r="G1204" s="5">
        <v>27.85</v>
      </c>
      <c r="H1204" s="5">
        <v>28.83</v>
      </c>
      <c r="I1204" s="5">
        <v>261.51</v>
      </c>
      <c r="J1204" s="5">
        <v>29.55</v>
      </c>
      <c r="K1204" s="5">
        <v>199.84</v>
      </c>
      <c r="L1204" s="5">
        <v>40.65</v>
      </c>
      <c r="M1204" s="5">
        <v>91.34</v>
      </c>
      <c r="N1204" s="5">
        <v>103.77</v>
      </c>
      <c r="O1204" s="5">
        <v>119.53</v>
      </c>
      <c r="P1204" s="5">
        <v>135.79</v>
      </c>
    </row>
    <row r="1205" spans="1:16" ht="15" customHeight="1" x14ac:dyDescent="0.35">
      <c r="A1205" s="1">
        <v>87</v>
      </c>
      <c r="B1205" s="5">
        <v>14.01</v>
      </c>
      <c r="C1205" s="5">
        <v>15.39</v>
      </c>
      <c r="D1205" s="5">
        <v>17.079999999999998</v>
      </c>
      <c r="E1205" s="5">
        <v>19.47</v>
      </c>
      <c r="F1205" s="5">
        <v>23.74</v>
      </c>
      <c r="G1205" s="5">
        <v>27.87</v>
      </c>
      <c r="H1205" s="5">
        <v>28.87</v>
      </c>
      <c r="I1205" s="5">
        <v>264.45999999999998</v>
      </c>
      <c r="J1205" s="5">
        <v>30.17</v>
      </c>
      <c r="K1205" s="5">
        <v>202.1</v>
      </c>
      <c r="L1205" s="5">
        <v>41.94</v>
      </c>
      <c r="M1205" s="5">
        <v>92.17</v>
      </c>
      <c r="N1205" s="5">
        <v>104.54</v>
      </c>
      <c r="O1205" s="5">
        <v>120.61</v>
      </c>
      <c r="P1205" s="5">
        <v>136.81</v>
      </c>
    </row>
    <row r="1206" spans="1:16" ht="15" customHeight="1" x14ac:dyDescent="0.35">
      <c r="A1206" s="1">
        <v>88</v>
      </c>
      <c r="B1206" s="5">
        <v>14.59</v>
      </c>
      <c r="C1206" s="5">
        <v>15.73</v>
      </c>
      <c r="D1206" s="5">
        <v>17.62</v>
      </c>
      <c r="E1206" s="5">
        <v>20.100000000000001</v>
      </c>
      <c r="F1206" s="5">
        <v>23.83</v>
      </c>
      <c r="G1206" s="5">
        <v>27.9</v>
      </c>
      <c r="H1206" s="5">
        <v>29.19</v>
      </c>
      <c r="I1206" s="5">
        <v>267.38</v>
      </c>
      <c r="J1206" s="5">
        <v>31.32</v>
      </c>
      <c r="K1206" s="5">
        <v>204.33</v>
      </c>
      <c r="L1206" s="5">
        <v>42.5</v>
      </c>
      <c r="M1206" s="5">
        <v>93</v>
      </c>
      <c r="N1206" s="5">
        <v>105.23</v>
      </c>
      <c r="O1206" s="5">
        <v>121.7</v>
      </c>
      <c r="P1206" s="5">
        <v>137.69999999999999</v>
      </c>
    </row>
    <row r="1207" spans="1:16" ht="15" customHeight="1" x14ac:dyDescent="0.35">
      <c r="A1207" s="1">
        <v>89</v>
      </c>
      <c r="B1207" s="5">
        <v>15.25</v>
      </c>
      <c r="C1207" s="5">
        <v>16.170000000000002</v>
      </c>
      <c r="D1207" s="5">
        <v>17.97</v>
      </c>
      <c r="E1207" s="5">
        <v>20.16</v>
      </c>
      <c r="F1207" s="5">
        <v>24.35</v>
      </c>
      <c r="G1207" s="5">
        <v>28.19</v>
      </c>
      <c r="H1207" s="5">
        <v>29.8</v>
      </c>
      <c r="I1207" s="5">
        <v>270.18</v>
      </c>
      <c r="J1207" s="5">
        <v>31.63</v>
      </c>
      <c r="K1207" s="5">
        <v>206.47</v>
      </c>
      <c r="L1207" s="5">
        <v>43.8</v>
      </c>
      <c r="M1207" s="5">
        <v>93.75</v>
      </c>
      <c r="N1207" s="5">
        <v>105.98</v>
      </c>
      <c r="O1207" s="5">
        <v>122.68</v>
      </c>
      <c r="P1207" s="5">
        <v>138.69</v>
      </c>
    </row>
    <row r="1208" spans="1:16" ht="15" customHeight="1" x14ac:dyDescent="0.35">
      <c r="A1208" s="1">
        <v>90</v>
      </c>
      <c r="B1208" s="5">
        <v>16.18</v>
      </c>
      <c r="C1208" s="5">
        <v>16.87</v>
      </c>
      <c r="D1208" s="5">
        <v>18.739999999999998</v>
      </c>
      <c r="E1208" s="5">
        <v>20.75</v>
      </c>
      <c r="F1208" s="5">
        <v>24.69</v>
      </c>
      <c r="G1208" s="5">
        <v>28.84</v>
      </c>
      <c r="H1208" s="5">
        <v>30.39</v>
      </c>
      <c r="I1208" s="5">
        <v>272.89999999999998</v>
      </c>
      <c r="J1208" s="5">
        <v>33.72</v>
      </c>
      <c r="K1208" s="5">
        <v>208.55</v>
      </c>
      <c r="L1208" s="5">
        <v>44.34</v>
      </c>
      <c r="M1208" s="5">
        <v>94.51</v>
      </c>
      <c r="N1208" s="5">
        <v>106.72</v>
      </c>
      <c r="O1208" s="5">
        <v>123.68</v>
      </c>
      <c r="P1208" s="5">
        <v>139.65</v>
      </c>
    </row>
    <row r="1209" spans="1:16" ht="15" customHeight="1" x14ac:dyDescent="0.35">
      <c r="A1209" s="1">
        <v>91</v>
      </c>
      <c r="B1209" s="5">
        <v>16.18</v>
      </c>
      <c r="C1209" s="5">
        <v>16.87</v>
      </c>
      <c r="D1209" s="5">
        <v>18.75</v>
      </c>
      <c r="E1209" s="5">
        <v>20.76</v>
      </c>
      <c r="F1209" s="5">
        <v>24.69</v>
      </c>
      <c r="G1209" s="5">
        <v>28.84</v>
      </c>
      <c r="H1209" s="5">
        <v>30.39</v>
      </c>
      <c r="I1209" s="5">
        <v>275.82</v>
      </c>
      <c r="J1209" s="5">
        <v>34.03</v>
      </c>
      <c r="K1209" s="5">
        <v>210.78</v>
      </c>
      <c r="L1209" s="5">
        <v>45.21</v>
      </c>
      <c r="M1209" s="5">
        <v>95.26</v>
      </c>
      <c r="N1209" s="5">
        <v>107.46</v>
      </c>
      <c r="O1209" s="5">
        <v>124.65</v>
      </c>
      <c r="P1209" s="5">
        <v>140.63</v>
      </c>
    </row>
    <row r="1210" spans="1:16" ht="15" customHeight="1" x14ac:dyDescent="0.35">
      <c r="A1210" s="1">
        <v>92</v>
      </c>
      <c r="B1210" s="5">
        <v>16.54</v>
      </c>
      <c r="C1210" s="5">
        <v>17.03</v>
      </c>
      <c r="D1210" s="5">
        <v>18.850000000000001</v>
      </c>
      <c r="E1210" s="5">
        <v>20.96</v>
      </c>
      <c r="F1210" s="5">
        <v>25</v>
      </c>
      <c r="G1210" s="5">
        <v>28.85</v>
      </c>
      <c r="H1210" s="5">
        <v>30.48</v>
      </c>
      <c r="I1210" s="5">
        <v>278.45</v>
      </c>
      <c r="J1210" s="5">
        <v>35.21</v>
      </c>
      <c r="K1210" s="5">
        <v>212.79</v>
      </c>
      <c r="L1210" s="5">
        <v>46.58</v>
      </c>
      <c r="M1210" s="5">
        <v>95.99</v>
      </c>
      <c r="N1210" s="5">
        <v>108.2</v>
      </c>
      <c r="O1210" s="5">
        <v>125.61</v>
      </c>
      <c r="P1210" s="5">
        <v>141.59</v>
      </c>
    </row>
    <row r="1211" spans="1:16" ht="15" customHeight="1" x14ac:dyDescent="0.35">
      <c r="A1211" s="1">
        <v>93</v>
      </c>
      <c r="B1211" s="5">
        <v>16.760000000000002</v>
      </c>
      <c r="C1211" s="5">
        <v>17.2</v>
      </c>
      <c r="D1211" s="5">
        <v>19.2</v>
      </c>
      <c r="E1211" s="5">
        <v>20.96</v>
      </c>
      <c r="F1211" s="5">
        <v>25</v>
      </c>
      <c r="G1211" s="5">
        <v>28.85</v>
      </c>
      <c r="H1211" s="5">
        <v>30.48</v>
      </c>
      <c r="I1211" s="5">
        <v>281.17</v>
      </c>
      <c r="J1211" s="5">
        <v>35.450000000000003</v>
      </c>
      <c r="K1211" s="5">
        <v>214.86</v>
      </c>
      <c r="L1211" s="5">
        <v>47.5</v>
      </c>
      <c r="M1211" s="5">
        <v>96.76</v>
      </c>
      <c r="N1211" s="5">
        <v>108.93</v>
      </c>
      <c r="O1211" s="5">
        <v>126.62</v>
      </c>
      <c r="P1211" s="5">
        <v>142.55000000000001</v>
      </c>
    </row>
    <row r="1212" spans="1:16" ht="15" customHeight="1" x14ac:dyDescent="0.35">
      <c r="A1212" s="1">
        <v>94</v>
      </c>
      <c r="B1212" s="5">
        <v>16.84</v>
      </c>
      <c r="C1212" s="5">
        <v>17.649999999999999</v>
      </c>
      <c r="D1212" s="5">
        <v>19.3</v>
      </c>
      <c r="E1212" s="5">
        <v>21.23</v>
      </c>
      <c r="F1212" s="5">
        <v>25.53</v>
      </c>
      <c r="G1212" s="5">
        <v>28.85</v>
      </c>
      <c r="H1212" s="5">
        <v>31.09</v>
      </c>
      <c r="I1212" s="5">
        <v>283.82</v>
      </c>
      <c r="J1212" s="5">
        <v>36.659999999999997</v>
      </c>
      <c r="K1212" s="5">
        <v>216.89</v>
      </c>
      <c r="L1212" s="5">
        <v>48.88</v>
      </c>
      <c r="M1212" s="5">
        <v>97.5</v>
      </c>
      <c r="N1212" s="5">
        <v>109.68</v>
      </c>
      <c r="O1212" s="5">
        <v>127.58</v>
      </c>
      <c r="P1212" s="5">
        <v>143.52000000000001</v>
      </c>
    </row>
    <row r="1213" spans="1:16" ht="15" customHeight="1" x14ac:dyDescent="0.35">
      <c r="A1213" s="1">
        <v>95</v>
      </c>
      <c r="B1213" s="5">
        <v>17.07</v>
      </c>
      <c r="C1213" s="5">
        <v>17.809999999999999</v>
      </c>
      <c r="D1213" s="5">
        <v>19.43</v>
      </c>
      <c r="E1213" s="5">
        <v>21.52</v>
      </c>
      <c r="F1213" s="5">
        <v>25.6</v>
      </c>
      <c r="G1213" s="5">
        <v>28.95</v>
      </c>
      <c r="H1213" s="5">
        <v>31.42</v>
      </c>
      <c r="I1213" s="5">
        <v>286.58</v>
      </c>
      <c r="J1213" s="5">
        <v>37.549999999999997</v>
      </c>
      <c r="K1213" s="5">
        <v>219</v>
      </c>
      <c r="L1213" s="5">
        <v>48.91</v>
      </c>
      <c r="M1213" s="5">
        <v>98.33</v>
      </c>
      <c r="N1213" s="5">
        <v>110.38</v>
      </c>
      <c r="O1213" s="5">
        <v>128.66999999999999</v>
      </c>
      <c r="P1213" s="5">
        <v>144.44</v>
      </c>
    </row>
    <row r="1214" spans="1:16" ht="15" customHeight="1" x14ac:dyDescent="0.35">
      <c r="A1214" s="1">
        <v>96</v>
      </c>
      <c r="B1214" s="5">
        <v>17.62</v>
      </c>
      <c r="C1214" s="5">
        <v>17.93</v>
      </c>
      <c r="D1214" s="5">
        <v>20.14</v>
      </c>
      <c r="E1214" s="5">
        <v>21.76</v>
      </c>
      <c r="F1214" s="5">
        <v>25.61</v>
      </c>
      <c r="G1214" s="5">
        <v>28.96</v>
      </c>
      <c r="H1214" s="5">
        <v>31.73</v>
      </c>
      <c r="I1214" s="5">
        <v>289.2</v>
      </c>
      <c r="J1214" s="5">
        <v>38.049999999999997</v>
      </c>
      <c r="K1214" s="5">
        <v>221</v>
      </c>
      <c r="L1214" s="5">
        <v>50.75</v>
      </c>
      <c r="M1214" s="5">
        <v>99.13</v>
      </c>
      <c r="N1214" s="5">
        <v>111.12</v>
      </c>
      <c r="O1214" s="5">
        <v>129.72999999999999</v>
      </c>
      <c r="P1214" s="5">
        <v>145.41</v>
      </c>
    </row>
    <row r="1215" spans="1:16" ht="15" customHeight="1" x14ac:dyDescent="0.35">
      <c r="A1215" s="1">
        <v>97</v>
      </c>
      <c r="B1215" s="5">
        <v>18.2</v>
      </c>
      <c r="C1215" s="5">
        <v>18.63</v>
      </c>
      <c r="D1215" s="5">
        <v>20.43</v>
      </c>
      <c r="E1215" s="5">
        <v>22.11</v>
      </c>
      <c r="F1215" s="5">
        <v>26.16</v>
      </c>
      <c r="G1215" s="5">
        <v>29.37</v>
      </c>
      <c r="H1215" s="5">
        <v>32.36</v>
      </c>
      <c r="I1215" s="5">
        <v>291.95999999999998</v>
      </c>
      <c r="J1215" s="5">
        <v>39.69</v>
      </c>
      <c r="K1215" s="5">
        <v>223.11</v>
      </c>
      <c r="L1215" s="5">
        <v>51.26</v>
      </c>
      <c r="M1215" s="5">
        <v>99.99</v>
      </c>
      <c r="N1215" s="5">
        <v>111.87</v>
      </c>
      <c r="O1215" s="5">
        <v>130.84</v>
      </c>
      <c r="P1215" s="5">
        <v>146.38999999999999</v>
      </c>
    </row>
    <row r="1216" spans="1:16" ht="15" customHeight="1" x14ac:dyDescent="0.35">
      <c r="A1216" s="1">
        <v>98</v>
      </c>
      <c r="B1216" s="5">
        <v>18.440000000000001</v>
      </c>
      <c r="C1216" s="5">
        <v>18.75</v>
      </c>
      <c r="D1216" s="5">
        <v>20.43</v>
      </c>
      <c r="E1216" s="5">
        <v>22.36</v>
      </c>
      <c r="F1216" s="5">
        <v>26.45</v>
      </c>
      <c r="G1216" s="5">
        <v>29.38</v>
      </c>
      <c r="H1216" s="5">
        <v>32.36</v>
      </c>
      <c r="I1216" s="5">
        <v>294.55</v>
      </c>
      <c r="J1216" s="5">
        <v>40.57</v>
      </c>
      <c r="K1216" s="5">
        <v>225.09</v>
      </c>
      <c r="L1216" s="5">
        <v>52.03</v>
      </c>
      <c r="M1216" s="5">
        <v>100.81</v>
      </c>
      <c r="N1216" s="5">
        <v>112.63</v>
      </c>
      <c r="O1216" s="5">
        <v>131.91999999999999</v>
      </c>
      <c r="P1216" s="5">
        <v>147.38999999999999</v>
      </c>
    </row>
    <row r="1217" spans="1:16" ht="15" customHeight="1" x14ac:dyDescent="0.35">
      <c r="A1217" s="1">
        <v>99</v>
      </c>
      <c r="B1217" s="5">
        <v>18.690000000000001</v>
      </c>
      <c r="C1217" s="5">
        <v>18.86</v>
      </c>
      <c r="D1217" s="5">
        <v>20.81</v>
      </c>
      <c r="E1217" s="5">
        <v>22.65</v>
      </c>
      <c r="F1217" s="5">
        <v>26.51</v>
      </c>
      <c r="G1217" s="5">
        <v>29.67</v>
      </c>
      <c r="H1217" s="5">
        <v>32.69</v>
      </c>
      <c r="I1217" s="5">
        <v>297.31</v>
      </c>
      <c r="J1217" s="5">
        <v>41.08</v>
      </c>
      <c r="K1217" s="5">
        <v>227.2</v>
      </c>
      <c r="L1217" s="5">
        <v>53.03</v>
      </c>
      <c r="M1217" s="5">
        <v>101.54</v>
      </c>
      <c r="N1217" s="5">
        <v>113.35</v>
      </c>
      <c r="O1217" s="5">
        <v>132.88</v>
      </c>
      <c r="P1217" s="5">
        <v>148.33000000000001</v>
      </c>
    </row>
    <row r="1218" spans="1:16" ht="15" customHeight="1" x14ac:dyDescent="0.35">
      <c r="A1218" s="1">
        <v>100</v>
      </c>
      <c r="B1218" s="5">
        <v>19.010000000000002</v>
      </c>
      <c r="C1218" s="5">
        <v>19.18</v>
      </c>
      <c r="D1218" s="5">
        <v>21.01</v>
      </c>
      <c r="E1218" s="5">
        <v>22.77</v>
      </c>
      <c r="F1218" s="5">
        <v>26.8</v>
      </c>
      <c r="G1218" s="5">
        <v>29.69</v>
      </c>
      <c r="H1218" s="5">
        <v>32.71</v>
      </c>
      <c r="I1218" s="5">
        <v>300.07</v>
      </c>
      <c r="J1218" s="5">
        <v>41.99</v>
      </c>
      <c r="K1218" s="5">
        <v>229.31</v>
      </c>
      <c r="L1218" s="5">
        <v>53.94</v>
      </c>
      <c r="M1218" s="5">
        <v>102.3</v>
      </c>
      <c r="N1218" s="5">
        <v>114.08</v>
      </c>
      <c r="O1218" s="5">
        <v>133.87</v>
      </c>
      <c r="P1218" s="5">
        <v>149.28</v>
      </c>
    </row>
    <row r="1219" spans="1:16" ht="15" customHeight="1" x14ac:dyDescent="0.35">
      <c r="A1219" s="1">
        <v>101</v>
      </c>
      <c r="B1219" s="5">
        <v>19.14</v>
      </c>
      <c r="C1219" s="5">
        <v>19.36</v>
      </c>
      <c r="D1219" s="5">
        <v>21.01</v>
      </c>
      <c r="E1219" s="5">
        <v>22.99</v>
      </c>
      <c r="F1219" s="5">
        <v>27.06</v>
      </c>
      <c r="G1219" s="5">
        <v>29.97</v>
      </c>
      <c r="H1219" s="5">
        <v>33.01</v>
      </c>
      <c r="I1219" s="5">
        <v>300.07</v>
      </c>
      <c r="J1219" s="5">
        <v>42.45</v>
      </c>
      <c r="K1219" s="5">
        <v>229.31</v>
      </c>
      <c r="L1219" s="5">
        <v>55.37</v>
      </c>
      <c r="M1219" s="5">
        <v>103.07</v>
      </c>
      <c r="N1219" s="5">
        <v>114.84</v>
      </c>
      <c r="O1219" s="5">
        <v>134.88</v>
      </c>
      <c r="P1219" s="5">
        <v>150.28</v>
      </c>
    </row>
    <row r="1220" spans="1:16" ht="15" customHeight="1" x14ac:dyDescent="0.35">
      <c r="A1220" s="1">
        <v>102</v>
      </c>
      <c r="B1220" s="5">
        <v>19.32</v>
      </c>
      <c r="C1220" s="5">
        <v>19.37</v>
      </c>
      <c r="D1220" s="5">
        <v>21.21</v>
      </c>
      <c r="E1220" s="5">
        <v>22.99</v>
      </c>
      <c r="F1220" s="5">
        <v>27.06</v>
      </c>
      <c r="G1220" s="5">
        <v>29.98</v>
      </c>
      <c r="H1220" s="5">
        <v>33.020000000000003</v>
      </c>
      <c r="I1220" s="5">
        <v>300.08</v>
      </c>
      <c r="J1220" s="5">
        <v>43.74</v>
      </c>
      <c r="K1220" s="5">
        <v>229.32</v>
      </c>
      <c r="L1220" s="5">
        <v>55.91</v>
      </c>
      <c r="M1220" s="5">
        <v>103.8</v>
      </c>
      <c r="N1220" s="5">
        <v>115.55</v>
      </c>
      <c r="O1220" s="5">
        <v>135.82</v>
      </c>
      <c r="P1220" s="5">
        <v>151.21</v>
      </c>
    </row>
    <row r="1221" spans="1:16" ht="15" customHeight="1" x14ac:dyDescent="0.35">
      <c r="A1221" s="1">
        <v>103</v>
      </c>
      <c r="B1221" s="5">
        <v>19.57</v>
      </c>
      <c r="C1221" s="5">
        <v>19.850000000000001</v>
      </c>
      <c r="D1221" s="5">
        <v>21.65</v>
      </c>
      <c r="E1221" s="5">
        <v>23.12</v>
      </c>
      <c r="F1221" s="5">
        <v>27.13</v>
      </c>
      <c r="G1221" s="5">
        <v>29.98</v>
      </c>
      <c r="H1221" s="5">
        <v>33.020000000000003</v>
      </c>
      <c r="I1221" s="5">
        <v>300.08999999999997</v>
      </c>
      <c r="J1221" s="5">
        <v>44.63</v>
      </c>
      <c r="K1221" s="5">
        <v>229.32</v>
      </c>
      <c r="L1221" s="5">
        <v>57.61</v>
      </c>
      <c r="M1221" s="5">
        <v>104.63</v>
      </c>
      <c r="N1221" s="5">
        <v>116.32</v>
      </c>
      <c r="O1221" s="5">
        <v>136.91</v>
      </c>
      <c r="P1221" s="5">
        <v>152.21</v>
      </c>
    </row>
    <row r="1222" spans="1:16" ht="15" customHeight="1" x14ac:dyDescent="0.35">
      <c r="A1222" s="1">
        <v>104</v>
      </c>
      <c r="B1222" s="5">
        <v>19.579999999999998</v>
      </c>
      <c r="C1222" s="5">
        <v>19.850000000000001</v>
      </c>
      <c r="D1222" s="5">
        <v>21.71</v>
      </c>
      <c r="E1222" s="5">
        <v>23.15</v>
      </c>
      <c r="F1222" s="5">
        <v>27.13</v>
      </c>
      <c r="G1222" s="5">
        <v>29.98</v>
      </c>
      <c r="H1222" s="5">
        <v>33.020000000000003</v>
      </c>
      <c r="I1222" s="5">
        <v>300.12</v>
      </c>
      <c r="J1222" s="5">
        <v>46.38</v>
      </c>
      <c r="K1222" s="5">
        <v>229.35</v>
      </c>
      <c r="L1222" s="5">
        <v>57.62</v>
      </c>
      <c r="M1222" s="5">
        <v>105.46</v>
      </c>
      <c r="N1222" s="5">
        <v>117.04</v>
      </c>
      <c r="O1222" s="5">
        <v>138.01</v>
      </c>
      <c r="P1222" s="5">
        <v>153.16</v>
      </c>
    </row>
    <row r="1223" spans="1:16" ht="15" customHeight="1" x14ac:dyDescent="0.35">
      <c r="A1223" s="1">
        <v>105</v>
      </c>
      <c r="B1223" s="5">
        <v>20.28</v>
      </c>
      <c r="C1223" s="5">
        <v>20.440000000000001</v>
      </c>
      <c r="D1223" s="5">
        <v>22.16</v>
      </c>
      <c r="E1223" s="5">
        <v>23.85</v>
      </c>
      <c r="F1223" s="5">
        <v>27.8</v>
      </c>
      <c r="G1223" s="5">
        <v>30.68</v>
      </c>
      <c r="H1223" s="5">
        <v>33.83</v>
      </c>
      <c r="I1223" s="5">
        <v>302.79000000000002</v>
      </c>
      <c r="J1223" s="5">
        <v>46.84</v>
      </c>
      <c r="K1223" s="5">
        <v>231.39</v>
      </c>
      <c r="L1223" s="5">
        <v>58.54</v>
      </c>
      <c r="M1223" s="5">
        <v>106.28</v>
      </c>
      <c r="N1223" s="5">
        <v>117.78</v>
      </c>
      <c r="O1223" s="5">
        <v>139.08000000000001</v>
      </c>
      <c r="P1223" s="5">
        <v>154.13</v>
      </c>
    </row>
    <row r="1224" spans="1:16" ht="15" customHeight="1" x14ac:dyDescent="0.35">
      <c r="A1224" s="1">
        <v>106</v>
      </c>
      <c r="B1224" s="5">
        <v>20.420000000000002</v>
      </c>
      <c r="C1224" s="5">
        <v>20.440000000000001</v>
      </c>
      <c r="D1224" s="5">
        <v>22.17</v>
      </c>
      <c r="E1224" s="5">
        <v>23.85</v>
      </c>
      <c r="F1224" s="5">
        <v>27.8</v>
      </c>
      <c r="G1224" s="5">
        <v>30.68</v>
      </c>
      <c r="H1224" s="5">
        <v>33.840000000000003</v>
      </c>
      <c r="I1224" s="5">
        <v>305.60000000000002</v>
      </c>
      <c r="J1224" s="5">
        <v>46.84</v>
      </c>
      <c r="K1224" s="5">
        <v>233.53</v>
      </c>
      <c r="L1224" s="5">
        <v>59.48</v>
      </c>
      <c r="M1224" s="5">
        <v>107.05</v>
      </c>
      <c r="N1224" s="5">
        <v>118.52</v>
      </c>
      <c r="O1224" s="5">
        <v>140.08000000000001</v>
      </c>
      <c r="P1224" s="5">
        <v>155.09</v>
      </c>
    </row>
    <row r="1225" spans="1:16" ht="15" customHeight="1" x14ac:dyDescent="0.35">
      <c r="A1225" s="1">
        <v>107</v>
      </c>
      <c r="B1225" s="5">
        <v>20.53</v>
      </c>
      <c r="C1225" s="5">
        <v>20.72</v>
      </c>
      <c r="D1225" s="5">
        <v>22.46</v>
      </c>
      <c r="E1225" s="5">
        <v>24.11</v>
      </c>
      <c r="F1225" s="5">
        <v>27.81</v>
      </c>
      <c r="G1225" s="5">
        <v>30.91</v>
      </c>
      <c r="H1225" s="5">
        <v>34.1</v>
      </c>
      <c r="I1225" s="5">
        <v>308.42</v>
      </c>
      <c r="J1225" s="5">
        <v>48.15</v>
      </c>
      <c r="K1225" s="5">
        <v>235.69</v>
      </c>
      <c r="L1225" s="5">
        <v>60.72</v>
      </c>
      <c r="M1225" s="5">
        <v>107.78</v>
      </c>
      <c r="N1225" s="5">
        <v>119.21</v>
      </c>
      <c r="O1225" s="5">
        <v>141.04</v>
      </c>
      <c r="P1225" s="5">
        <v>156</v>
      </c>
    </row>
    <row r="1226" spans="1:16" ht="15" customHeight="1" x14ac:dyDescent="0.35">
      <c r="A1226" s="1">
        <v>108</v>
      </c>
      <c r="B1226" s="5">
        <v>20.82</v>
      </c>
      <c r="C1226" s="5">
        <v>20.95</v>
      </c>
      <c r="D1226" s="5">
        <v>22.68</v>
      </c>
      <c r="E1226" s="5">
        <v>24.11</v>
      </c>
      <c r="F1226" s="5">
        <v>28.06</v>
      </c>
      <c r="G1226" s="5">
        <v>30.91</v>
      </c>
      <c r="H1226" s="5">
        <v>34.11</v>
      </c>
      <c r="I1226" s="5">
        <v>311.23</v>
      </c>
      <c r="J1226" s="5">
        <v>48.6</v>
      </c>
      <c r="K1226" s="5">
        <v>237.84</v>
      </c>
      <c r="L1226" s="5">
        <v>62.47</v>
      </c>
      <c r="M1226" s="5">
        <v>108.53</v>
      </c>
      <c r="N1226" s="5">
        <v>119.96</v>
      </c>
      <c r="O1226" s="5">
        <v>142.02000000000001</v>
      </c>
      <c r="P1226" s="5">
        <v>156.97999999999999</v>
      </c>
    </row>
    <row r="1227" spans="1:16" ht="15" customHeight="1" x14ac:dyDescent="0.35">
      <c r="A1227" s="1">
        <v>109</v>
      </c>
      <c r="B1227" s="5">
        <v>21.45</v>
      </c>
      <c r="C1227" s="5">
        <v>21.45</v>
      </c>
      <c r="D1227" s="5">
        <v>22.96</v>
      </c>
      <c r="E1227" s="5">
        <v>24.58</v>
      </c>
      <c r="F1227" s="5">
        <v>28.3</v>
      </c>
      <c r="G1227" s="5">
        <v>31.47</v>
      </c>
      <c r="H1227" s="5">
        <v>34.729999999999997</v>
      </c>
      <c r="I1227" s="5">
        <v>313.89</v>
      </c>
      <c r="J1227" s="5">
        <v>49.49</v>
      </c>
      <c r="K1227" s="5">
        <v>239.87</v>
      </c>
      <c r="L1227" s="5">
        <v>62.48</v>
      </c>
      <c r="M1227" s="5">
        <v>109.24</v>
      </c>
      <c r="N1227" s="5">
        <v>120.7</v>
      </c>
      <c r="O1227" s="5">
        <v>142.94999999999999</v>
      </c>
      <c r="P1227" s="5">
        <v>157.94999999999999</v>
      </c>
    </row>
    <row r="1228" spans="1:16" ht="15" customHeight="1" x14ac:dyDescent="0.35">
      <c r="A1228" s="1">
        <v>110</v>
      </c>
      <c r="B1228" s="5">
        <v>21.82</v>
      </c>
      <c r="C1228" s="5">
        <v>21.97</v>
      </c>
      <c r="D1228" s="5">
        <v>23.45</v>
      </c>
      <c r="E1228" s="5">
        <v>25.05</v>
      </c>
      <c r="F1228" s="5">
        <v>29.08</v>
      </c>
      <c r="G1228" s="5">
        <v>32.049999999999997</v>
      </c>
      <c r="H1228" s="5">
        <v>35.369999999999997</v>
      </c>
      <c r="I1228" s="5">
        <v>316.54000000000002</v>
      </c>
      <c r="J1228" s="5">
        <v>50.37</v>
      </c>
      <c r="K1228" s="5">
        <v>241.89</v>
      </c>
      <c r="L1228" s="5">
        <v>63.76</v>
      </c>
      <c r="M1228" s="5">
        <v>110.12</v>
      </c>
      <c r="N1228" s="5">
        <v>121.45</v>
      </c>
      <c r="O1228" s="5">
        <v>144.11000000000001</v>
      </c>
      <c r="P1228" s="5">
        <v>158.93</v>
      </c>
    </row>
    <row r="1229" spans="1:16" ht="15" customHeight="1" x14ac:dyDescent="0.35">
      <c r="A1229" s="1">
        <v>111</v>
      </c>
      <c r="B1229" s="5">
        <v>21.82</v>
      </c>
      <c r="C1229" s="5">
        <v>22</v>
      </c>
      <c r="D1229" s="5">
        <v>23.96</v>
      </c>
      <c r="E1229" s="5">
        <v>25.3</v>
      </c>
      <c r="F1229" s="5">
        <v>29.09</v>
      </c>
      <c r="G1229" s="5">
        <v>32.28</v>
      </c>
      <c r="H1229" s="5">
        <v>35.79</v>
      </c>
      <c r="I1229" s="5">
        <v>320.14999999999998</v>
      </c>
      <c r="J1229" s="5">
        <v>51.21</v>
      </c>
      <c r="K1229" s="5">
        <v>244.65</v>
      </c>
      <c r="L1229" s="5">
        <v>64.680000000000007</v>
      </c>
      <c r="M1229" s="5">
        <v>110.95</v>
      </c>
      <c r="N1229" s="5">
        <v>122.16</v>
      </c>
      <c r="O1229" s="5">
        <v>145.18</v>
      </c>
      <c r="P1229" s="5">
        <v>159.85</v>
      </c>
    </row>
    <row r="1230" spans="1:16" ht="15" customHeight="1" x14ac:dyDescent="0.35">
      <c r="A1230" s="1">
        <v>112</v>
      </c>
      <c r="B1230" s="5">
        <v>22.08</v>
      </c>
      <c r="C1230" s="5">
        <v>22.45</v>
      </c>
      <c r="D1230" s="5">
        <v>23.97</v>
      </c>
      <c r="E1230" s="5">
        <v>25.3</v>
      </c>
      <c r="F1230" s="5">
        <v>29.32</v>
      </c>
      <c r="G1230" s="5">
        <v>32.29</v>
      </c>
      <c r="H1230" s="5">
        <v>35.79</v>
      </c>
      <c r="I1230" s="5">
        <v>323.76</v>
      </c>
      <c r="J1230" s="5">
        <v>52.61</v>
      </c>
      <c r="K1230" s="5">
        <v>247.41</v>
      </c>
      <c r="L1230" s="5">
        <v>65.03</v>
      </c>
      <c r="M1230" s="5">
        <v>111.76</v>
      </c>
      <c r="N1230" s="5">
        <v>122.96</v>
      </c>
      <c r="O1230" s="5">
        <v>146.25</v>
      </c>
      <c r="P1230" s="5">
        <v>160.9</v>
      </c>
    </row>
    <row r="1231" spans="1:16" ht="15" customHeight="1" x14ac:dyDescent="0.35">
      <c r="A1231" s="1">
        <v>113</v>
      </c>
      <c r="B1231" s="5">
        <v>22.08</v>
      </c>
      <c r="C1231" s="5">
        <v>22.46</v>
      </c>
      <c r="D1231" s="5">
        <v>24.23</v>
      </c>
      <c r="E1231" s="5">
        <v>25.53</v>
      </c>
      <c r="F1231" s="5">
        <v>29.32</v>
      </c>
      <c r="G1231" s="5">
        <v>32.29</v>
      </c>
      <c r="H1231" s="5">
        <v>36.1</v>
      </c>
      <c r="I1231" s="5">
        <v>326.57</v>
      </c>
      <c r="J1231" s="5">
        <v>52.96</v>
      </c>
      <c r="K1231" s="5">
        <v>249.56</v>
      </c>
      <c r="L1231" s="5">
        <v>66.27</v>
      </c>
      <c r="M1231" s="5">
        <v>112.49</v>
      </c>
      <c r="N1231" s="5">
        <v>123.83</v>
      </c>
      <c r="O1231" s="5">
        <v>147.19999999999999</v>
      </c>
      <c r="P1231" s="5">
        <v>162.04</v>
      </c>
    </row>
    <row r="1232" spans="1:16" ht="15" customHeight="1" x14ac:dyDescent="0.35">
      <c r="A1232" s="1">
        <v>114</v>
      </c>
      <c r="B1232" s="5">
        <v>22.31</v>
      </c>
      <c r="C1232" s="5">
        <v>22.94</v>
      </c>
      <c r="D1232" s="5">
        <v>24.73</v>
      </c>
      <c r="E1232" s="5">
        <v>26.03</v>
      </c>
      <c r="F1232" s="5">
        <v>30.1</v>
      </c>
      <c r="G1232" s="5">
        <v>33.1</v>
      </c>
      <c r="H1232" s="5">
        <v>36.68</v>
      </c>
      <c r="I1232" s="5">
        <v>329.41</v>
      </c>
      <c r="J1232" s="5">
        <v>53.48</v>
      </c>
      <c r="K1232" s="5">
        <v>251.73</v>
      </c>
      <c r="L1232" s="5">
        <v>67.14</v>
      </c>
      <c r="M1232" s="5">
        <v>113.27</v>
      </c>
      <c r="N1232" s="5">
        <v>124.62</v>
      </c>
      <c r="O1232" s="5">
        <v>148.22</v>
      </c>
      <c r="P1232" s="5">
        <v>163.08000000000001</v>
      </c>
    </row>
    <row r="1233" spans="1:16" ht="15" customHeight="1" x14ac:dyDescent="0.35">
      <c r="A1233" s="1">
        <v>115</v>
      </c>
      <c r="B1233" s="5">
        <v>22.99</v>
      </c>
      <c r="C1233" s="5">
        <v>23.28</v>
      </c>
      <c r="D1233" s="5">
        <v>24.74</v>
      </c>
      <c r="E1233" s="5">
        <v>26.35</v>
      </c>
      <c r="F1233" s="5">
        <v>30.1</v>
      </c>
      <c r="G1233" s="5">
        <v>33.409999999999997</v>
      </c>
      <c r="H1233" s="5">
        <v>36.69</v>
      </c>
      <c r="I1233" s="5">
        <v>332.21</v>
      </c>
      <c r="J1233" s="5">
        <v>54.69</v>
      </c>
      <c r="K1233" s="5">
        <v>253.87</v>
      </c>
      <c r="L1233" s="5">
        <v>67.77</v>
      </c>
      <c r="M1233" s="5">
        <v>114.01</v>
      </c>
      <c r="N1233" s="5">
        <v>125.42</v>
      </c>
      <c r="O1233" s="5">
        <v>149.19999999999999</v>
      </c>
      <c r="P1233" s="5">
        <v>164.13</v>
      </c>
    </row>
    <row r="1234" spans="1:16" ht="15" customHeight="1" x14ac:dyDescent="0.35">
      <c r="A1234" s="1">
        <v>116</v>
      </c>
      <c r="B1234" s="5">
        <v>22.99</v>
      </c>
      <c r="C1234" s="5">
        <v>23.28</v>
      </c>
      <c r="D1234" s="5">
        <v>25.05</v>
      </c>
      <c r="E1234" s="5">
        <v>26.35</v>
      </c>
      <c r="F1234" s="5">
        <v>30.54</v>
      </c>
      <c r="G1234" s="5">
        <v>33.83</v>
      </c>
      <c r="H1234" s="5">
        <v>37.26</v>
      </c>
      <c r="I1234" s="5">
        <v>334.3</v>
      </c>
      <c r="J1234" s="5">
        <v>55.62</v>
      </c>
      <c r="K1234" s="5">
        <v>255.46</v>
      </c>
      <c r="L1234" s="5">
        <v>70.03</v>
      </c>
      <c r="M1234" s="5">
        <v>115.56</v>
      </c>
      <c r="N1234" s="5">
        <v>126.29</v>
      </c>
      <c r="O1234" s="5">
        <v>151.22</v>
      </c>
      <c r="P1234" s="5">
        <v>165.26</v>
      </c>
    </row>
    <row r="1235" spans="1:16" ht="15" customHeight="1" x14ac:dyDescent="0.35">
      <c r="A1235" s="1">
        <v>117</v>
      </c>
      <c r="B1235" s="5">
        <v>23.01</v>
      </c>
      <c r="C1235" s="5">
        <v>23.51</v>
      </c>
      <c r="D1235" s="5">
        <v>25.29</v>
      </c>
      <c r="E1235" s="5">
        <v>26.7</v>
      </c>
      <c r="F1235" s="5">
        <v>30.55</v>
      </c>
      <c r="G1235" s="5">
        <v>33.83</v>
      </c>
      <c r="H1235" s="5">
        <v>37.5</v>
      </c>
      <c r="I1235" s="5">
        <v>336.95</v>
      </c>
      <c r="J1235" s="5">
        <v>55.96</v>
      </c>
      <c r="K1235" s="5">
        <v>257.49</v>
      </c>
      <c r="L1235" s="5">
        <v>70.040000000000006</v>
      </c>
      <c r="M1235" s="5">
        <v>115.56</v>
      </c>
      <c r="N1235" s="5">
        <v>127.1</v>
      </c>
      <c r="O1235" s="5">
        <v>151.22</v>
      </c>
      <c r="P1235" s="5">
        <v>166.33</v>
      </c>
    </row>
    <row r="1236" spans="1:16" ht="15" customHeight="1" x14ac:dyDescent="0.35">
      <c r="A1236" s="1">
        <v>118</v>
      </c>
      <c r="B1236" s="5">
        <v>23.26</v>
      </c>
      <c r="C1236" s="5">
        <v>23.78</v>
      </c>
      <c r="D1236" s="5">
        <v>25.31</v>
      </c>
      <c r="E1236" s="5">
        <v>26.78</v>
      </c>
      <c r="F1236" s="5">
        <v>30.77</v>
      </c>
      <c r="G1236" s="5">
        <v>33.840000000000003</v>
      </c>
      <c r="H1236" s="5">
        <v>38.15</v>
      </c>
      <c r="I1236" s="5">
        <v>339.61</v>
      </c>
      <c r="J1236" s="5">
        <v>57.92</v>
      </c>
      <c r="K1236" s="5">
        <v>259.52</v>
      </c>
      <c r="L1236" s="5">
        <v>71.239999999999995</v>
      </c>
      <c r="M1236" s="5">
        <v>116.41</v>
      </c>
      <c r="N1236" s="5">
        <v>127.88</v>
      </c>
      <c r="O1236" s="5">
        <v>152.33000000000001</v>
      </c>
      <c r="P1236" s="5">
        <v>167.34</v>
      </c>
    </row>
    <row r="1237" spans="1:16" ht="15" customHeight="1" x14ac:dyDescent="0.35">
      <c r="A1237" s="1">
        <v>119</v>
      </c>
      <c r="B1237" s="5">
        <v>23.95</v>
      </c>
      <c r="C1237" s="5">
        <v>24.27</v>
      </c>
      <c r="D1237" s="5">
        <v>26.06</v>
      </c>
      <c r="E1237" s="5">
        <v>27.19</v>
      </c>
      <c r="F1237" s="5">
        <v>30.77</v>
      </c>
      <c r="G1237" s="5">
        <v>34.1</v>
      </c>
      <c r="H1237" s="5">
        <v>38.15</v>
      </c>
      <c r="I1237" s="5">
        <v>344.53</v>
      </c>
      <c r="J1237" s="5">
        <v>57.93</v>
      </c>
      <c r="K1237" s="5">
        <v>263.27999999999997</v>
      </c>
      <c r="L1237" s="5">
        <v>71.25</v>
      </c>
      <c r="M1237" s="5">
        <v>117.24</v>
      </c>
      <c r="N1237" s="5">
        <v>128.66</v>
      </c>
      <c r="O1237" s="5">
        <v>153.41999999999999</v>
      </c>
      <c r="P1237" s="5">
        <v>168.37</v>
      </c>
    </row>
    <row r="1238" spans="1:16" ht="15" customHeight="1" x14ac:dyDescent="0.35">
      <c r="A1238" s="1">
        <v>120</v>
      </c>
      <c r="B1238" s="5">
        <v>24.6</v>
      </c>
      <c r="C1238" s="5">
        <v>24.62</v>
      </c>
      <c r="D1238" s="5">
        <v>26.1</v>
      </c>
      <c r="E1238" s="5">
        <v>27.37</v>
      </c>
      <c r="F1238" s="5">
        <v>31.31</v>
      </c>
      <c r="G1238" s="5">
        <v>34.549999999999997</v>
      </c>
      <c r="H1238" s="5">
        <v>38.15</v>
      </c>
      <c r="I1238" s="5">
        <v>347.35</v>
      </c>
      <c r="J1238" s="5">
        <v>59.73</v>
      </c>
      <c r="K1238" s="5">
        <v>265.44</v>
      </c>
      <c r="L1238" s="5">
        <v>73.55</v>
      </c>
      <c r="M1238" s="5">
        <v>118.04</v>
      </c>
      <c r="N1238" s="5">
        <v>129.4</v>
      </c>
      <c r="O1238" s="5">
        <v>154.47</v>
      </c>
      <c r="P1238" s="5">
        <v>169.33</v>
      </c>
    </row>
    <row r="1239" spans="1:16" ht="15" customHeight="1" x14ac:dyDescent="0.35">
      <c r="A1239" s="1">
        <v>121</v>
      </c>
      <c r="B1239" s="5">
        <v>24.61</v>
      </c>
      <c r="C1239" s="5">
        <v>24.63</v>
      </c>
      <c r="D1239" s="5">
        <v>26.1</v>
      </c>
      <c r="E1239" s="5">
        <v>27.38</v>
      </c>
      <c r="F1239" s="5">
        <v>31.51</v>
      </c>
      <c r="G1239" s="5">
        <v>34.549999999999997</v>
      </c>
      <c r="H1239" s="5">
        <v>38.15</v>
      </c>
      <c r="I1239" s="5">
        <v>349.67</v>
      </c>
      <c r="J1239" s="5">
        <v>59.73</v>
      </c>
      <c r="K1239" s="5">
        <v>267.20999999999998</v>
      </c>
      <c r="L1239" s="5">
        <v>74.260000000000005</v>
      </c>
      <c r="M1239" s="5">
        <v>118.91</v>
      </c>
      <c r="N1239" s="5">
        <v>130.12</v>
      </c>
      <c r="O1239" s="5">
        <v>155.6</v>
      </c>
      <c r="P1239" s="5">
        <v>170.28</v>
      </c>
    </row>
    <row r="1240" spans="1:16" ht="15" customHeight="1" x14ac:dyDescent="0.35">
      <c r="A1240" s="1">
        <v>122</v>
      </c>
      <c r="B1240" s="5">
        <v>24.61</v>
      </c>
      <c r="C1240" s="5">
        <v>25.1</v>
      </c>
      <c r="D1240" s="5">
        <v>26.36</v>
      </c>
      <c r="E1240" s="5">
        <v>27.62</v>
      </c>
      <c r="F1240" s="5">
        <v>31.75</v>
      </c>
      <c r="G1240" s="5">
        <v>35.1</v>
      </c>
      <c r="H1240" s="5">
        <v>38.82</v>
      </c>
      <c r="I1240" s="5">
        <v>355.95</v>
      </c>
      <c r="J1240" s="5">
        <v>61.5</v>
      </c>
      <c r="K1240" s="5">
        <v>272.01</v>
      </c>
      <c r="L1240" s="5">
        <v>74.97</v>
      </c>
      <c r="M1240" s="5">
        <v>119.73</v>
      </c>
      <c r="N1240" s="5">
        <v>130.83000000000001</v>
      </c>
      <c r="O1240" s="5">
        <v>156.66999999999999</v>
      </c>
      <c r="P1240" s="5">
        <v>171.21</v>
      </c>
    </row>
    <row r="1241" spans="1:16" ht="15" customHeight="1" x14ac:dyDescent="0.35">
      <c r="A1241" s="1">
        <v>123</v>
      </c>
      <c r="B1241" s="5">
        <v>24.83</v>
      </c>
      <c r="C1241" s="5">
        <v>25.12</v>
      </c>
      <c r="D1241" s="5">
        <v>27.15</v>
      </c>
      <c r="E1241" s="5">
        <v>28.38</v>
      </c>
      <c r="F1241" s="5">
        <v>32</v>
      </c>
      <c r="G1241" s="5">
        <v>35.74</v>
      </c>
      <c r="H1241" s="5">
        <v>39.35</v>
      </c>
      <c r="I1241" s="5">
        <v>355.96</v>
      </c>
      <c r="J1241" s="5">
        <v>61.51</v>
      </c>
      <c r="K1241" s="5">
        <v>272.02</v>
      </c>
      <c r="L1241" s="5">
        <v>75</v>
      </c>
      <c r="M1241" s="5">
        <v>120.54</v>
      </c>
      <c r="N1241" s="5">
        <v>131.59</v>
      </c>
      <c r="O1241" s="5">
        <v>157.72999999999999</v>
      </c>
      <c r="P1241" s="5">
        <v>172.19</v>
      </c>
    </row>
    <row r="1242" spans="1:16" ht="15" customHeight="1" x14ac:dyDescent="0.35">
      <c r="A1242" s="1">
        <v>124</v>
      </c>
      <c r="B1242" s="5">
        <v>24.83</v>
      </c>
      <c r="C1242" s="5">
        <v>25.37</v>
      </c>
      <c r="D1242" s="5">
        <v>27.43</v>
      </c>
      <c r="E1242" s="5">
        <v>28.38</v>
      </c>
      <c r="F1242" s="5">
        <v>32.21</v>
      </c>
      <c r="G1242" s="5">
        <v>35.75</v>
      </c>
      <c r="H1242" s="5">
        <v>39.36</v>
      </c>
      <c r="I1242" s="5">
        <v>358.6</v>
      </c>
      <c r="J1242" s="5">
        <v>62.01</v>
      </c>
      <c r="K1242" s="5">
        <v>274.02999999999997</v>
      </c>
      <c r="L1242" s="5">
        <v>77.540000000000006</v>
      </c>
      <c r="M1242" s="5">
        <v>121.36</v>
      </c>
      <c r="N1242" s="5">
        <v>132.31</v>
      </c>
      <c r="O1242" s="5">
        <v>158.81</v>
      </c>
      <c r="P1242" s="5">
        <v>173.14</v>
      </c>
    </row>
    <row r="1243" spans="1:16" ht="15" customHeight="1" x14ac:dyDescent="0.35">
      <c r="A1243" s="1">
        <v>125</v>
      </c>
      <c r="B1243" s="5">
        <v>25.07</v>
      </c>
      <c r="C1243" s="5">
        <v>25.37</v>
      </c>
      <c r="D1243" s="5">
        <v>27.43</v>
      </c>
      <c r="E1243" s="5">
        <v>28.38</v>
      </c>
      <c r="F1243" s="5">
        <v>32.22</v>
      </c>
      <c r="G1243" s="5">
        <v>35.75</v>
      </c>
      <c r="H1243" s="5">
        <v>39.36</v>
      </c>
      <c r="I1243" s="5">
        <v>361.6</v>
      </c>
      <c r="J1243" s="5">
        <v>63.53</v>
      </c>
      <c r="K1243" s="5">
        <v>276.33</v>
      </c>
      <c r="L1243" s="5">
        <v>78.28</v>
      </c>
      <c r="M1243" s="5">
        <v>122.19</v>
      </c>
      <c r="N1243" s="5">
        <v>133.07</v>
      </c>
      <c r="O1243" s="5">
        <v>159.9</v>
      </c>
      <c r="P1243" s="5">
        <v>174.13</v>
      </c>
    </row>
    <row r="1244" spans="1:16" ht="15" customHeight="1" x14ac:dyDescent="0.35">
      <c r="A1244" s="1">
        <v>126</v>
      </c>
      <c r="B1244" s="5">
        <v>25.57</v>
      </c>
      <c r="C1244" s="5">
        <v>25.62</v>
      </c>
      <c r="D1244" s="5">
        <v>27.72</v>
      </c>
      <c r="E1244" s="5">
        <v>28.39</v>
      </c>
      <c r="F1244" s="5">
        <v>32.409999999999997</v>
      </c>
      <c r="G1244" s="5">
        <v>35.75</v>
      </c>
      <c r="H1244" s="5">
        <v>40.75</v>
      </c>
      <c r="I1244" s="5">
        <v>363.84</v>
      </c>
      <c r="J1244" s="5">
        <v>64.39</v>
      </c>
      <c r="K1244" s="5">
        <v>278.04000000000002</v>
      </c>
      <c r="L1244" s="5">
        <v>78.650000000000006</v>
      </c>
      <c r="M1244" s="5">
        <v>123.07</v>
      </c>
      <c r="N1244" s="5">
        <v>133.77000000000001</v>
      </c>
      <c r="O1244" s="5">
        <v>161.05000000000001</v>
      </c>
      <c r="P1244" s="5">
        <v>175.05</v>
      </c>
    </row>
    <row r="1245" spans="1:16" ht="15" customHeight="1" x14ac:dyDescent="0.35">
      <c r="A1245" s="1">
        <v>127</v>
      </c>
      <c r="B1245" s="5">
        <v>25.57</v>
      </c>
      <c r="C1245" s="5">
        <v>26.07</v>
      </c>
      <c r="D1245" s="5">
        <v>28.25</v>
      </c>
      <c r="E1245" s="5">
        <v>29.03</v>
      </c>
      <c r="F1245" s="5">
        <v>33.15</v>
      </c>
      <c r="G1245" s="5">
        <v>36.4</v>
      </c>
      <c r="H1245" s="5">
        <v>40.75</v>
      </c>
      <c r="I1245" s="5">
        <v>366.79</v>
      </c>
      <c r="J1245" s="5">
        <v>65.87</v>
      </c>
      <c r="K1245" s="5">
        <v>280.3</v>
      </c>
      <c r="L1245" s="5">
        <v>78.83</v>
      </c>
      <c r="M1245" s="5">
        <v>123.87</v>
      </c>
      <c r="N1245" s="5">
        <v>134.54</v>
      </c>
      <c r="O1245" s="5">
        <v>162.09</v>
      </c>
      <c r="P1245" s="5">
        <v>176.05</v>
      </c>
    </row>
    <row r="1246" spans="1:16" ht="15" customHeight="1" x14ac:dyDescent="0.35">
      <c r="A1246" s="1">
        <v>128</v>
      </c>
      <c r="B1246" s="5">
        <v>25.81</v>
      </c>
      <c r="C1246" s="5">
        <v>26.07</v>
      </c>
      <c r="D1246" s="5">
        <v>28.26</v>
      </c>
      <c r="E1246" s="5">
        <v>29.04</v>
      </c>
      <c r="F1246" s="5">
        <v>33.15</v>
      </c>
      <c r="G1246" s="5">
        <v>36.4</v>
      </c>
      <c r="H1246" s="5">
        <v>40.97</v>
      </c>
      <c r="I1246" s="5">
        <v>369.78</v>
      </c>
      <c r="J1246" s="5">
        <v>66.78</v>
      </c>
      <c r="K1246" s="5">
        <v>282.58</v>
      </c>
      <c r="L1246" s="5">
        <v>79.59</v>
      </c>
      <c r="M1246" s="5">
        <v>124.71</v>
      </c>
      <c r="N1246" s="5">
        <v>135.36000000000001</v>
      </c>
      <c r="O1246" s="5">
        <v>163.19999999999999</v>
      </c>
      <c r="P1246" s="5">
        <v>177.13</v>
      </c>
    </row>
    <row r="1247" spans="1:16" ht="15" customHeight="1" x14ac:dyDescent="0.35">
      <c r="A1247" s="1">
        <v>129</v>
      </c>
      <c r="B1247" s="5">
        <v>26.3</v>
      </c>
      <c r="C1247" s="5">
        <v>26.4</v>
      </c>
      <c r="D1247" s="5">
        <v>28.27</v>
      </c>
      <c r="E1247" s="5">
        <v>29.23</v>
      </c>
      <c r="F1247" s="5">
        <v>33.15</v>
      </c>
      <c r="G1247" s="5">
        <v>36.4</v>
      </c>
      <c r="H1247" s="5">
        <v>41.36</v>
      </c>
      <c r="I1247" s="5">
        <v>372.76</v>
      </c>
      <c r="J1247" s="5">
        <v>66.790000000000006</v>
      </c>
      <c r="K1247" s="5">
        <v>284.86</v>
      </c>
      <c r="L1247" s="5">
        <v>80.64</v>
      </c>
      <c r="M1247" s="5">
        <v>124.72</v>
      </c>
      <c r="N1247" s="5">
        <v>136.13999999999999</v>
      </c>
      <c r="O1247" s="5">
        <v>163.19999999999999</v>
      </c>
      <c r="P1247" s="5">
        <v>178.16</v>
      </c>
    </row>
    <row r="1248" spans="1:16" ht="15" customHeight="1" x14ac:dyDescent="0.35">
      <c r="A1248" s="1">
        <v>130</v>
      </c>
      <c r="B1248" s="5">
        <v>26.41</v>
      </c>
      <c r="C1248" s="5">
        <v>26.41</v>
      </c>
      <c r="D1248" s="5">
        <v>28.52</v>
      </c>
      <c r="E1248" s="5">
        <v>29.24</v>
      </c>
      <c r="F1248" s="5">
        <v>33.39</v>
      </c>
      <c r="G1248" s="5">
        <v>36.880000000000003</v>
      </c>
      <c r="H1248" s="5">
        <v>42.31</v>
      </c>
      <c r="I1248" s="5">
        <v>382.98</v>
      </c>
      <c r="J1248" s="5">
        <v>69.86</v>
      </c>
      <c r="K1248" s="5">
        <v>292.67</v>
      </c>
      <c r="L1248" s="5">
        <v>82.41</v>
      </c>
      <c r="M1248" s="5">
        <v>126.35</v>
      </c>
      <c r="N1248" s="5">
        <v>136.96</v>
      </c>
      <c r="O1248" s="5">
        <v>165.34</v>
      </c>
      <c r="P1248" s="5">
        <v>179.22</v>
      </c>
    </row>
    <row r="1249" spans="1:16" ht="15" customHeight="1" x14ac:dyDescent="0.35">
      <c r="A1249" s="1">
        <v>131</v>
      </c>
      <c r="B1249" s="5">
        <v>26.55</v>
      </c>
      <c r="C1249" s="5">
        <v>26.82</v>
      </c>
      <c r="D1249" s="5">
        <v>29.06</v>
      </c>
      <c r="E1249" s="5">
        <v>29.71</v>
      </c>
      <c r="F1249" s="5">
        <v>33.880000000000003</v>
      </c>
      <c r="G1249" s="5">
        <v>37.22</v>
      </c>
      <c r="H1249" s="5">
        <v>42.5</v>
      </c>
      <c r="I1249" s="5">
        <v>382.99</v>
      </c>
      <c r="J1249" s="5">
        <v>69.86</v>
      </c>
      <c r="K1249" s="5">
        <v>292.67</v>
      </c>
      <c r="L1249" s="5">
        <v>82.41</v>
      </c>
      <c r="M1249" s="5">
        <v>127.19</v>
      </c>
      <c r="N1249" s="5">
        <v>138.62</v>
      </c>
      <c r="O1249" s="5">
        <v>166.43</v>
      </c>
      <c r="P1249" s="5">
        <v>181.4</v>
      </c>
    </row>
    <row r="1250" spans="1:16" ht="15" customHeight="1" x14ac:dyDescent="0.35">
      <c r="A1250" s="1">
        <v>132</v>
      </c>
      <c r="B1250" s="5">
        <v>26.83</v>
      </c>
      <c r="C1250" s="5">
        <v>26.84</v>
      </c>
      <c r="D1250" s="5">
        <v>29.07</v>
      </c>
      <c r="E1250" s="5">
        <v>29.91</v>
      </c>
      <c r="F1250" s="5">
        <v>33.880000000000003</v>
      </c>
      <c r="G1250" s="5">
        <v>37.229999999999997</v>
      </c>
      <c r="H1250" s="5">
        <v>42.51</v>
      </c>
      <c r="I1250" s="5">
        <v>386.42</v>
      </c>
      <c r="J1250" s="5">
        <v>70.09</v>
      </c>
      <c r="K1250" s="5">
        <v>295.3</v>
      </c>
      <c r="L1250" s="5">
        <v>82.42</v>
      </c>
      <c r="M1250" s="5">
        <v>128.03</v>
      </c>
      <c r="N1250" s="5">
        <v>138.63</v>
      </c>
      <c r="O1250" s="5">
        <v>167.54</v>
      </c>
      <c r="P1250" s="5">
        <v>181.41</v>
      </c>
    </row>
    <row r="1251" spans="1:16" ht="15" customHeight="1" x14ac:dyDescent="0.35">
      <c r="A1251" s="1">
        <v>133</v>
      </c>
      <c r="B1251" s="5">
        <v>27.06</v>
      </c>
      <c r="C1251" s="5">
        <v>27.13</v>
      </c>
      <c r="D1251" s="5">
        <v>29.07</v>
      </c>
      <c r="E1251" s="5">
        <v>29.91</v>
      </c>
      <c r="F1251" s="5">
        <v>34.06</v>
      </c>
      <c r="G1251" s="5">
        <v>37.229999999999997</v>
      </c>
      <c r="H1251" s="5">
        <v>42.51</v>
      </c>
      <c r="I1251" s="5">
        <v>388.75</v>
      </c>
      <c r="J1251" s="5">
        <v>70.09</v>
      </c>
      <c r="K1251" s="5">
        <v>297.07</v>
      </c>
      <c r="L1251" s="5">
        <v>84.37</v>
      </c>
      <c r="M1251" s="5">
        <v>128.83000000000001</v>
      </c>
      <c r="N1251" s="5">
        <v>139.43</v>
      </c>
      <c r="O1251" s="5">
        <v>168.59</v>
      </c>
      <c r="P1251" s="5">
        <v>182.46</v>
      </c>
    </row>
    <row r="1252" spans="1:16" ht="15" customHeight="1" x14ac:dyDescent="0.35">
      <c r="A1252" s="1">
        <v>134</v>
      </c>
      <c r="B1252" s="5">
        <v>27.56</v>
      </c>
      <c r="C1252" s="5">
        <v>27.6</v>
      </c>
      <c r="D1252" s="5">
        <v>29.64</v>
      </c>
      <c r="E1252" s="5">
        <v>30.45</v>
      </c>
      <c r="F1252" s="5">
        <v>34.65</v>
      </c>
      <c r="G1252" s="5">
        <v>37.840000000000003</v>
      </c>
      <c r="H1252" s="5">
        <v>42.51</v>
      </c>
      <c r="I1252" s="5">
        <v>388.76</v>
      </c>
      <c r="J1252" s="5">
        <v>70.75</v>
      </c>
      <c r="K1252" s="5">
        <v>297.08</v>
      </c>
      <c r="L1252" s="5">
        <v>85.17</v>
      </c>
      <c r="M1252" s="5">
        <v>129.66999999999999</v>
      </c>
      <c r="N1252" s="5">
        <v>140.26</v>
      </c>
      <c r="O1252" s="5">
        <v>169.69</v>
      </c>
      <c r="P1252" s="5">
        <v>183.54</v>
      </c>
    </row>
    <row r="1253" spans="1:16" ht="15" customHeight="1" x14ac:dyDescent="0.35">
      <c r="A1253" s="1">
        <v>135</v>
      </c>
      <c r="B1253" s="5">
        <v>27.77</v>
      </c>
      <c r="C1253" s="5">
        <v>28.14</v>
      </c>
      <c r="D1253" s="5">
        <v>30.18</v>
      </c>
      <c r="E1253" s="5">
        <v>30.99</v>
      </c>
      <c r="F1253" s="5">
        <v>35.08</v>
      </c>
      <c r="G1253" s="5">
        <v>38.04</v>
      </c>
      <c r="H1253" s="5">
        <v>42.72</v>
      </c>
      <c r="I1253" s="5">
        <v>391.7</v>
      </c>
      <c r="J1253" s="5">
        <v>71.61</v>
      </c>
      <c r="K1253" s="5">
        <v>299.33</v>
      </c>
      <c r="L1253" s="5">
        <v>85.38</v>
      </c>
      <c r="M1253" s="5">
        <v>130.51</v>
      </c>
      <c r="N1253" s="5">
        <v>141</v>
      </c>
      <c r="O1253" s="5">
        <v>170.79</v>
      </c>
      <c r="P1253" s="5">
        <v>184.51</v>
      </c>
    </row>
    <row r="1254" spans="1:16" ht="15" customHeight="1" x14ac:dyDescent="0.35">
      <c r="A1254" s="1">
        <v>136</v>
      </c>
      <c r="B1254" s="5">
        <v>27.98</v>
      </c>
      <c r="C1254" s="5">
        <v>28.14</v>
      </c>
      <c r="D1254" s="5">
        <v>30.39</v>
      </c>
      <c r="E1254" s="5">
        <v>31.26</v>
      </c>
      <c r="F1254" s="5">
        <v>35.08</v>
      </c>
      <c r="G1254" s="5">
        <v>38.630000000000003</v>
      </c>
      <c r="H1254" s="5">
        <v>43.01</v>
      </c>
      <c r="I1254" s="5">
        <v>394.68</v>
      </c>
      <c r="J1254" s="5">
        <v>73.150000000000006</v>
      </c>
      <c r="K1254" s="5">
        <v>301.61</v>
      </c>
      <c r="L1254" s="5">
        <v>87</v>
      </c>
      <c r="M1254" s="5">
        <v>131.37</v>
      </c>
      <c r="N1254" s="5">
        <v>141.74</v>
      </c>
      <c r="O1254" s="5">
        <v>171.91</v>
      </c>
      <c r="P1254" s="5">
        <v>185.48</v>
      </c>
    </row>
    <row r="1255" spans="1:16" ht="15" customHeight="1" x14ac:dyDescent="0.35">
      <c r="A1255" s="1">
        <v>137</v>
      </c>
      <c r="B1255" s="5">
        <v>27.98</v>
      </c>
      <c r="C1255" s="5">
        <v>28.21</v>
      </c>
      <c r="D1255" s="5">
        <v>31.19</v>
      </c>
      <c r="E1255" s="5">
        <v>31.49</v>
      </c>
      <c r="F1255" s="5">
        <v>35.08</v>
      </c>
      <c r="G1255" s="5">
        <v>38.630000000000003</v>
      </c>
      <c r="H1255" s="5">
        <v>43.02</v>
      </c>
      <c r="I1255" s="5">
        <v>405.28</v>
      </c>
      <c r="J1255" s="5">
        <v>73.34</v>
      </c>
      <c r="K1255" s="5">
        <v>309.7</v>
      </c>
      <c r="L1255" s="5">
        <v>87.82</v>
      </c>
      <c r="M1255" s="5">
        <v>133</v>
      </c>
      <c r="N1255" s="5">
        <v>142.47</v>
      </c>
      <c r="O1255" s="5">
        <v>174.05</v>
      </c>
      <c r="P1255" s="5">
        <v>186.44</v>
      </c>
    </row>
    <row r="1256" spans="1:16" ht="15" customHeight="1" x14ac:dyDescent="0.35">
      <c r="A1256" s="1">
        <v>138</v>
      </c>
      <c r="B1256" s="5">
        <v>28.5</v>
      </c>
      <c r="C1256" s="5">
        <v>28.93</v>
      </c>
      <c r="D1256" s="5">
        <v>31.34</v>
      </c>
      <c r="E1256" s="5">
        <v>31.75</v>
      </c>
      <c r="F1256" s="5">
        <v>35.799999999999997</v>
      </c>
      <c r="G1256" s="5">
        <v>38.96</v>
      </c>
      <c r="H1256" s="5">
        <v>44.2</v>
      </c>
      <c r="I1256" s="5">
        <v>407.43</v>
      </c>
      <c r="J1256" s="5">
        <v>74.209999999999994</v>
      </c>
      <c r="K1256" s="5">
        <v>311.35000000000002</v>
      </c>
      <c r="L1256" s="5">
        <v>88.12</v>
      </c>
      <c r="M1256" s="5">
        <v>133.82</v>
      </c>
      <c r="N1256" s="5">
        <v>143.19</v>
      </c>
      <c r="O1256" s="5">
        <v>175.12</v>
      </c>
      <c r="P1256" s="5">
        <v>187.38</v>
      </c>
    </row>
    <row r="1257" spans="1:16" ht="15" customHeight="1" x14ac:dyDescent="0.35">
      <c r="A1257" s="1">
        <v>139</v>
      </c>
      <c r="B1257" s="5">
        <v>29.03</v>
      </c>
      <c r="C1257" s="5">
        <v>29.04</v>
      </c>
      <c r="D1257" s="5">
        <v>31.35</v>
      </c>
      <c r="E1257" s="5">
        <v>31.75</v>
      </c>
      <c r="F1257" s="5">
        <v>35.799999999999997</v>
      </c>
      <c r="G1257" s="5">
        <v>39.69</v>
      </c>
      <c r="H1257" s="5">
        <v>44.21</v>
      </c>
      <c r="I1257" s="5">
        <v>407.44</v>
      </c>
      <c r="J1257" s="5">
        <v>75.069999999999993</v>
      </c>
      <c r="K1257" s="5">
        <v>311.36</v>
      </c>
      <c r="L1257" s="5">
        <v>89.87</v>
      </c>
      <c r="M1257" s="5">
        <v>133.84</v>
      </c>
      <c r="N1257" s="5">
        <v>143.9</v>
      </c>
      <c r="O1257" s="5">
        <v>175.14</v>
      </c>
      <c r="P1257" s="5">
        <v>188.31</v>
      </c>
    </row>
    <row r="1258" spans="1:16" ht="15" customHeight="1" x14ac:dyDescent="0.35">
      <c r="A1258" s="1">
        <v>140</v>
      </c>
      <c r="B1258" s="5">
        <v>29.27</v>
      </c>
      <c r="C1258" s="5">
        <v>29.5</v>
      </c>
      <c r="D1258" s="5">
        <v>31.66</v>
      </c>
      <c r="E1258" s="5">
        <v>32.25</v>
      </c>
      <c r="F1258" s="5">
        <v>36.19</v>
      </c>
      <c r="G1258" s="5">
        <v>39.69</v>
      </c>
      <c r="H1258" s="5">
        <v>44.21</v>
      </c>
      <c r="I1258" s="5">
        <v>407.45</v>
      </c>
      <c r="J1258" s="5">
        <v>75.97</v>
      </c>
      <c r="K1258" s="5">
        <v>311.36</v>
      </c>
      <c r="L1258" s="5">
        <v>90.82</v>
      </c>
      <c r="M1258" s="5">
        <v>135.46</v>
      </c>
      <c r="N1258" s="5">
        <v>144.66999999999999</v>
      </c>
      <c r="O1258" s="5">
        <v>177.25</v>
      </c>
      <c r="P1258" s="5">
        <v>189.32</v>
      </c>
    </row>
    <row r="1259" spans="1:16" ht="15" customHeight="1" x14ac:dyDescent="0.35">
      <c r="A1259" s="1">
        <v>141</v>
      </c>
      <c r="B1259" s="5">
        <v>29.28</v>
      </c>
      <c r="C1259" s="5">
        <v>29.5</v>
      </c>
      <c r="D1259" s="5">
        <v>31.94</v>
      </c>
      <c r="E1259" s="5">
        <v>32.26</v>
      </c>
      <c r="F1259" s="5">
        <v>36.19</v>
      </c>
      <c r="G1259" s="5">
        <v>39.69</v>
      </c>
      <c r="H1259" s="5">
        <v>44.63</v>
      </c>
      <c r="I1259" s="5">
        <v>408.49</v>
      </c>
      <c r="J1259" s="5">
        <v>77.55</v>
      </c>
      <c r="K1259" s="5">
        <v>312.16000000000003</v>
      </c>
      <c r="L1259" s="5">
        <v>90.86</v>
      </c>
      <c r="M1259" s="5">
        <v>135.47</v>
      </c>
      <c r="N1259" s="5">
        <v>145.38</v>
      </c>
      <c r="O1259" s="5">
        <v>177.28</v>
      </c>
      <c r="P1259" s="5">
        <v>190.25</v>
      </c>
    </row>
    <row r="1260" spans="1:16" ht="15" customHeight="1" x14ac:dyDescent="0.35">
      <c r="A1260" s="1">
        <v>142</v>
      </c>
      <c r="B1260" s="5">
        <v>29.65</v>
      </c>
      <c r="C1260" s="5">
        <v>29.65</v>
      </c>
      <c r="D1260" s="5">
        <v>32.22</v>
      </c>
      <c r="E1260" s="5">
        <v>32.770000000000003</v>
      </c>
      <c r="F1260" s="5">
        <v>36.729999999999997</v>
      </c>
      <c r="G1260" s="5">
        <v>39.869999999999997</v>
      </c>
      <c r="H1260" s="5">
        <v>44.63</v>
      </c>
      <c r="I1260" s="5">
        <v>415.3</v>
      </c>
      <c r="J1260" s="5">
        <v>77.67</v>
      </c>
      <c r="K1260" s="5">
        <v>317.37</v>
      </c>
      <c r="L1260" s="5">
        <v>91.74</v>
      </c>
      <c r="M1260" s="5">
        <v>136.31</v>
      </c>
      <c r="N1260" s="5">
        <v>146.15</v>
      </c>
      <c r="O1260" s="5">
        <v>178.38</v>
      </c>
      <c r="P1260" s="5">
        <v>191.25</v>
      </c>
    </row>
    <row r="1261" spans="1:16" ht="15" customHeight="1" x14ac:dyDescent="0.35">
      <c r="A1261" s="1">
        <v>143</v>
      </c>
      <c r="B1261" s="5">
        <v>29.65</v>
      </c>
      <c r="C1261" s="5">
        <v>29.66</v>
      </c>
      <c r="D1261" s="5">
        <v>32.22</v>
      </c>
      <c r="E1261" s="5">
        <v>32.78</v>
      </c>
      <c r="F1261" s="5">
        <v>36.729999999999997</v>
      </c>
      <c r="G1261" s="5">
        <v>39.869999999999997</v>
      </c>
      <c r="H1261" s="5">
        <v>44.63</v>
      </c>
      <c r="I1261" s="5">
        <v>418.11</v>
      </c>
      <c r="J1261" s="5">
        <v>79.319999999999993</v>
      </c>
      <c r="K1261" s="5">
        <v>319.52</v>
      </c>
      <c r="L1261" s="5">
        <v>91.81</v>
      </c>
      <c r="M1261" s="5">
        <v>137.15</v>
      </c>
      <c r="N1261" s="5">
        <v>146.88</v>
      </c>
      <c r="O1261" s="5">
        <v>179.47</v>
      </c>
      <c r="P1261" s="5">
        <v>192.2</v>
      </c>
    </row>
    <row r="1262" spans="1:16" ht="15" customHeight="1" x14ac:dyDescent="0.35">
      <c r="A1262" s="1">
        <v>144</v>
      </c>
      <c r="B1262" s="5">
        <v>30.49</v>
      </c>
      <c r="C1262" s="5">
        <v>30.9</v>
      </c>
      <c r="D1262" s="5">
        <v>33.159999999999997</v>
      </c>
      <c r="E1262" s="5">
        <v>33.799999999999997</v>
      </c>
      <c r="F1262" s="5">
        <v>37.71</v>
      </c>
      <c r="G1262" s="5">
        <v>41.29</v>
      </c>
      <c r="H1262" s="5">
        <v>46.19</v>
      </c>
      <c r="I1262" s="5">
        <v>420.98</v>
      </c>
      <c r="J1262" s="5">
        <v>80.94</v>
      </c>
      <c r="K1262" s="5">
        <v>321.70999999999998</v>
      </c>
      <c r="L1262" s="5">
        <v>95.39</v>
      </c>
      <c r="M1262" s="5">
        <v>137.47</v>
      </c>
      <c r="N1262" s="5">
        <v>147.69999999999999</v>
      </c>
      <c r="O1262" s="5">
        <v>179.89</v>
      </c>
      <c r="P1262" s="5">
        <v>193.27</v>
      </c>
    </row>
    <row r="1263" spans="1:16" ht="15" customHeight="1" x14ac:dyDescent="0.35">
      <c r="A1263" s="1">
        <v>145</v>
      </c>
      <c r="B1263" s="5">
        <v>30.49</v>
      </c>
      <c r="C1263" s="5">
        <v>31.21</v>
      </c>
      <c r="D1263" s="5">
        <v>33.17</v>
      </c>
      <c r="E1263" s="5">
        <v>33.799999999999997</v>
      </c>
      <c r="F1263" s="5">
        <v>38.270000000000003</v>
      </c>
      <c r="G1263" s="5">
        <v>41.38</v>
      </c>
      <c r="H1263" s="5">
        <v>46.19</v>
      </c>
      <c r="I1263" s="5">
        <v>420.99</v>
      </c>
      <c r="J1263" s="5">
        <v>80.95</v>
      </c>
      <c r="K1263" s="5">
        <v>321.70999999999998</v>
      </c>
      <c r="L1263" s="5">
        <v>95.4</v>
      </c>
      <c r="M1263" s="5">
        <v>138.77000000000001</v>
      </c>
      <c r="N1263" s="5">
        <v>149.33000000000001</v>
      </c>
      <c r="O1263" s="5">
        <v>181.59</v>
      </c>
      <c r="P1263" s="5">
        <v>195.41</v>
      </c>
    </row>
    <row r="1264" spans="1:16" ht="15" customHeight="1" x14ac:dyDescent="0.35">
      <c r="A1264" s="1">
        <v>146</v>
      </c>
      <c r="B1264" s="5">
        <v>30.5</v>
      </c>
      <c r="C1264" s="5">
        <v>31.21</v>
      </c>
      <c r="D1264" s="5">
        <v>33.17</v>
      </c>
      <c r="E1264" s="5">
        <v>33.81</v>
      </c>
      <c r="F1264" s="5">
        <v>38.28</v>
      </c>
      <c r="G1264" s="5">
        <v>41.39</v>
      </c>
      <c r="H1264" s="5">
        <v>46.2</v>
      </c>
      <c r="I1264" s="5">
        <v>422.94</v>
      </c>
      <c r="J1264" s="5">
        <v>81.17</v>
      </c>
      <c r="K1264" s="5">
        <v>323.20999999999998</v>
      </c>
      <c r="L1264" s="5">
        <v>98.17</v>
      </c>
      <c r="M1264" s="5">
        <v>139.62</v>
      </c>
      <c r="N1264" s="5">
        <v>149.33000000000001</v>
      </c>
      <c r="O1264" s="5">
        <v>182.7</v>
      </c>
      <c r="P1264" s="5">
        <v>195.41</v>
      </c>
    </row>
    <row r="1265" spans="1:16" ht="15" customHeight="1" x14ac:dyDescent="0.35">
      <c r="A1265" s="1">
        <v>147</v>
      </c>
      <c r="B1265" s="5">
        <v>30.87</v>
      </c>
      <c r="C1265" s="5">
        <v>31.52</v>
      </c>
      <c r="D1265" s="5">
        <v>33.75</v>
      </c>
      <c r="E1265" s="5">
        <v>34.15</v>
      </c>
      <c r="F1265" s="5">
        <v>38.549999999999997</v>
      </c>
      <c r="G1265" s="5">
        <v>41.39</v>
      </c>
      <c r="H1265" s="5">
        <v>46.62</v>
      </c>
      <c r="I1265" s="5">
        <v>433.02</v>
      </c>
      <c r="J1265" s="5">
        <v>82.03</v>
      </c>
      <c r="K1265" s="5">
        <v>330.91</v>
      </c>
      <c r="L1265" s="5">
        <v>98.18</v>
      </c>
      <c r="M1265" s="5">
        <v>140.44999999999999</v>
      </c>
      <c r="N1265" s="5">
        <v>150.16</v>
      </c>
      <c r="O1265" s="5">
        <v>183.79</v>
      </c>
      <c r="P1265" s="5">
        <v>196.5</v>
      </c>
    </row>
    <row r="1266" spans="1:16" ht="15" customHeight="1" x14ac:dyDescent="0.35">
      <c r="A1266" s="1">
        <v>148</v>
      </c>
      <c r="B1266" s="5">
        <v>30.87</v>
      </c>
      <c r="C1266" s="5">
        <v>31.71</v>
      </c>
      <c r="D1266" s="5">
        <v>33.79</v>
      </c>
      <c r="E1266" s="5">
        <v>34.15</v>
      </c>
      <c r="F1266" s="5">
        <v>38.549999999999997</v>
      </c>
      <c r="G1266" s="5">
        <v>41.39</v>
      </c>
      <c r="H1266" s="5">
        <v>46.63</v>
      </c>
      <c r="I1266" s="5">
        <v>433.03</v>
      </c>
      <c r="J1266" s="5">
        <v>82.87</v>
      </c>
      <c r="K1266" s="5">
        <v>330.91</v>
      </c>
      <c r="L1266" s="5">
        <v>98.19</v>
      </c>
      <c r="M1266" s="5">
        <v>142.13</v>
      </c>
      <c r="N1266" s="5">
        <v>150.94999999999999</v>
      </c>
      <c r="O1266" s="5">
        <v>185.99</v>
      </c>
      <c r="P1266" s="5">
        <v>197.53</v>
      </c>
    </row>
    <row r="1267" spans="1:16" ht="15" customHeight="1" x14ac:dyDescent="0.35">
      <c r="A1267" s="1">
        <v>149</v>
      </c>
      <c r="B1267" s="5">
        <v>30.87</v>
      </c>
      <c r="C1267" s="5">
        <v>31.71</v>
      </c>
      <c r="D1267" s="5">
        <v>34.26</v>
      </c>
      <c r="E1267" s="5">
        <v>34.68</v>
      </c>
      <c r="F1267" s="5">
        <v>38.68</v>
      </c>
      <c r="G1267" s="5">
        <v>41.78</v>
      </c>
      <c r="H1267" s="5">
        <v>47.07</v>
      </c>
      <c r="I1267" s="5">
        <v>433.95</v>
      </c>
      <c r="J1267" s="5">
        <v>84.62</v>
      </c>
      <c r="K1267" s="5">
        <v>331.62</v>
      </c>
      <c r="L1267" s="5">
        <v>99.05</v>
      </c>
      <c r="M1267" s="5">
        <v>142.13999999999999</v>
      </c>
      <c r="N1267" s="5">
        <v>151.79</v>
      </c>
      <c r="O1267" s="5">
        <v>186</v>
      </c>
      <c r="P1267" s="5">
        <v>198.64</v>
      </c>
    </row>
    <row r="1268" spans="1:16" ht="15" customHeight="1" x14ac:dyDescent="0.35">
      <c r="A1268" s="1">
        <v>150</v>
      </c>
      <c r="B1268" s="5">
        <v>30.87</v>
      </c>
      <c r="C1268" s="5">
        <v>31.71</v>
      </c>
      <c r="D1268" s="5">
        <v>34.26</v>
      </c>
      <c r="E1268" s="5">
        <v>35.18</v>
      </c>
      <c r="F1268" s="5">
        <v>38.68</v>
      </c>
      <c r="G1268" s="5">
        <v>41.79</v>
      </c>
      <c r="H1268" s="5">
        <v>47.07</v>
      </c>
      <c r="I1268" s="5">
        <v>436.93</v>
      </c>
      <c r="J1268" s="5">
        <v>85.43</v>
      </c>
      <c r="K1268" s="5">
        <v>333.89</v>
      </c>
      <c r="L1268" s="5">
        <v>99.06</v>
      </c>
      <c r="M1268" s="5">
        <v>142.96</v>
      </c>
      <c r="N1268" s="5">
        <v>152.6</v>
      </c>
      <c r="O1268" s="5">
        <v>187.07</v>
      </c>
      <c r="P1268" s="5">
        <v>199.69</v>
      </c>
    </row>
    <row r="1269" spans="1:16" ht="15" customHeight="1" x14ac:dyDescent="0.3">
      <c r="A1269" s="1" t="s">
        <v>35</v>
      </c>
    </row>
    <row r="1272" spans="1:16" ht="15" customHeight="1" x14ac:dyDescent="0.3">
      <c r="A1272" s="7" t="s">
        <v>0</v>
      </c>
      <c r="B1272" s="7"/>
      <c r="C1272" s="7"/>
      <c r="D1272" s="7"/>
      <c r="E1272" s="7"/>
    </row>
    <row r="1273" spans="1:16" s="6" customFormat="1" ht="15" customHeight="1" x14ac:dyDescent="0.35">
      <c r="A1273" s="10" t="s">
        <v>63</v>
      </c>
      <c r="B1273" s="10"/>
      <c r="C1273" s="10"/>
      <c r="D1273" s="10"/>
      <c r="E1273" s="10"/>
      <c r="F1273" s="10"/>
      <c r="G1273" s="10"/>
      <c r="H1273" s="11" t="s">
        <v>25</v>
      </c>
      <c r="I1273" s="11"/>
      <c r="J1273" s="11"/>
      <c r="K1273" s="11"/>
    </row>
    <row r="1274" spans="1:16" s="6" customFormat="1" ht="15" customHeight="1" x14ac:dyDescent="0.3"/>
    <row r="1275" spans="1:16" s="6" customFormat="1" ht="15" customHeight="1" x14ac:dyDescent="0.3"/>
    <row r="1277" spans="1:16" ht="15" customHeight="1" x14ac:dyDescent="0.3">
      <c r="A1277" s="1" t="s">
        <v>26</v>
      </c>
    </row>
    <row r="1278" spans="1:16" ht="15" customHeight="1" x14ac:dyDescent="0.3">
      <c r="A1278" s="1" t="s">
        <v>0</v>
      </c>
    </row>
    <row r="1279" spans="1:16" ht="15" customHeight="1" x14ac:dyDescent="0.3">
      <c r="A1279" s="1" t="s">
        <v>0</v>
      </c>
    </row>
    <row r="1280" spans="1:16" ht="15" customHeight="1" x14ac:dyDescent="0.3">
      <c r="A1280" s="1" t="s">
        <v>27</v>
      </c>
      <c r="B1280" s="1" t="s">
        <v>28</v>
      </c>
    </row>
    <row r="1281" spans="1:16" ht="15" customHeight="1" x14ac:dyDescent="0.35">
      <c r="A1281" s="1" t="s">
        <v>64</v>
      </c>
      <c r="B1281" s="3">
        <v>0.18</v>
      </c>
    </row>
    <row r="1283" spans="1:16" ht="15" customHeight="1" x14ac:dyDescent="0.3">
      <c r="A1283" s="1" t="s">
        <v>60</v>
      </c>
    </row>
    <row r="1284" spans="1:16" ht="15" customHeight="1" x14ac:dyDescent="0.3">
      <c r="A1284" s="1" t="s">
        <v>61</v>
      </c>
      <c r="B1284" s="1" t="s">
        <v>65</v>
      </c>
    </row>
    <row r="1285" spans="1:16" ht="15" customHeight="1" x14ac:dyDescent="0.3">
      <c r="A1285" s="1" t="s">
        <v>0</v>
      </c>
    </row>
    <row r="1286" spans="1:16" ht="15" customHeight="1" x14ac:dyDescent="0.35">
      <c r="A1286" s="2" t="s">
        <v>32</v>
      </c>
      <c r="B1286" s="8" t="s">
        <v>33</v>
      </c>
      <c r="C1286" s="8"/>
    </row>
    <row r="1287" spans="1:16" ht="15" customHeight="1" x14ac:dyDescent="0.35">
      <c r="A1287" s="2" t="s">
        <v>34</v>
      </c>
      <c r="B1287" s="2">
        <v>2</v>
      </c>
      <c r="C1287" s="2">
        <v>3</v>
      </c>
      <c r="D1287" s="2">
        <v>4</v>
      </c>
      <c r="E1287" s="2">
        <v>5</v>
      </c>
      <c r="F1287" s="2">
        <v>6</v>
      </c>
      <c r="G1287" s="2">
        <v>7</v>
      </c>
      <c r="H1287" s="2">
        <v>8</v>
      </c>
      <c r="I1287" s="2">
        <v>9</v>
      </c>
      <c r="J1287" s="2">
        <v>14</v>
      </c>
      <c r="K1287" s="2">
        <v>17</v>
      </c>
      <c r="L1287" s="2">
        <v>22</v>
      </c>
      <c r="M1287" s="2">
        <v>23</v>
      </c>
      <c r="N1287" s="2">
        <v>25</v>
      </c>
      <c r="O1287" s="2">
        <v>92</v>
      </c>
      <c r="P1287" s="2">
        <v>96</v>
      </c>
    </row>
    <row r="1288" spans="1:16" ht="15" customHeight="1" x14ac:dyDescent="0.3">
      <c r="A1288" s="1" t="s">
        <v>0</v>
      </c>
    </row>
    <row r="1289" spans="1:16" ht="15" customHeight="1" x14ac:dyDescent="0.35">
      <c r="A1289" s="1">
        <v>1</v>
      </c>
      <c r="B1289" s="4">
        <v>6.13</v>
      </c>
      <c r="C1289" s="4">
        <v>6.13</v>
      </c>
      <c r="D1289" s="4">
        <v>6.13</v>
      </c>
      <c r="E1289" s="4">
        <v>6.13</v>
      </c>
      <c r="F1289" s="4">
        <v>6.13</v>
      </c>
      <c r="G1289" s="4">
        <v>6.13</v>
      </c>
      <c r="H1289" s="4">
        <v>6.13</v>
      </c>
      <c r="I1289" s="4">
        <v>39.380000000000003</v>
      </c>
      <c r="J1289" s="4">
        <v>8.9600000000000009</v>
      </c>
      <c r="K1289" s="4">
        <v>39.380000000000003</v>
      </c>
      <c r="L1289" s="4">
        <v>9.19</v>
      </c>
      <c r="M1289" s="4">
        <v>13.71</v>
      </c>
      <c r="N1289" s="4">
        <v>14.15</v>
      </c>
      <c r="O1289" s="4">
        <v>13.71</v>
      </c>
      <c r="P1289" s="4">
        <v>14.15</v>
      </c>
    </row>
    <row r="1290" spans="1:16" ht="15" customHeight="1" x14ac:dyDescent="0.35">
      <c r="A1290" s="1">
        <v>2</v>
      </c>
      <c r="B1290" s="4">
        <v>6.13</v>
      </c>
      <c r="C1290" s="4">
        <v>6.13</v>
      </c>
      <c r="D1290" s="4">
        <v>6.13</v>
      </c>
      <c r="E1290" s="4">
        <v>6.13</v>
      </c>
      <c r="F1290" s="4">
        <v>6.13</v>
      </c>
      <c r="G1290" s="5">
        <v>6.29</v>
      </c>
      <c r="H1290" s="5">
        <v>6.4</v>
      </c>
      <c r="I1290" s="4">
        <v>39.380000000000003</v>
      </c>
      <c r="J1290" s="4">
        <v>8.9600000000000009</v>
      </c>
      <c r="K1290" s="4">
        <v>39.380000000000003</v>
      </c>
      <c r="L1290" s="4">
        <v>9.19</v>
      </c>
      <c r="M1290" s="4">
        <v>13.71</v>
      </c>
      <c r="N1290" s="4">
        <v>14.15</v>
      </c>
      <c r="O1290" s="4">
        <v>13.71</v>
      </c>
      <c r="P1290" s="4">
        <v>14.15</v>
      </c>
    </row>
    <row r="1291" spans="1:16" ht="15" customHeight="1" x14ac:dyDescent="0.35">
      <c r="A1291" s="1">
        <v>3</v>
      </c>
      <c r="B1291" s="4">
        <v>6.13</v>
      </c>
      <c r="C1291" s="4">
        <v>6.13</v>
      </c>
      <c r="D1291" s="4">
        <v>6.13</v>
      </c>
      <c r="E1291" s="5">
        <v>6.21</v>
      </c>
      <c r="F1291" s="5">
        <v>6.47</v>
      </c>
      <c r="G1291" s="5">
        <v>6.71</v>
      </c>
      <c r="H1291" s="5">
        <v>7.04</v>
      </c>
      <c r="I1291" s="4">
        <v>39.380000000000003</v>
      </c>
      <c r="J1291" s="4">
        <v>8.9600000000000009</v>
      </c>
      <c r="K1291" s="4">
        <v>39.380000000000003</v>
      </c>
      <c r="L1291" s="4">
        <v>9.19</v>
      </c>
      <c r="M1291" s="4">
        <v>13.71</v>
      </c>
      <c r="N1291" s="4">
        <v>14.15</v>
      </c>
      <c r="O1291" s="4">
        <v>13.71</v>
      </c>
      <c r="P1291" s="4">
        <v>14.15</v>
      </c>
    </row>
    <row r="1292" spans="1:16" ht="15" customHeight="1" x14ac:dyDescent="0.35">
      <c r="A1292" s="1">
        <v>4</v>
      </c>
      <c r="B1292" s="4">
        <v>6.13</v>
      </c>
      <c r="C1292" s="4">
        <v>6.13</v>
      </c>
      <c r="D1292" s="5">
        <v>6.15</v>
      </c>
      <c r="E1292" s="5">
        <v>6.56</v>
      </c>
      <c r="F1292" s="5">
        <v>6.74</v>
      </c>
      <c r="G1292" s="5">
        <v>7.2</v>
      </c>
      <c r="H1292" s="5">
        <v>7.54</v>
      </c>
      <c r="I1292" s="4">
        <v>39.380000000000003</v>
      </c>
      <c r="J1292" s="4">
        <v>8.9600000000000009</v>
      </c>
      <c r="K1292" s="4">
        <v>39.380000000000003</v>
      </c>
      <c r="L1292" s="4">
        <v>9.19</v>
      </c>
      <c r="M1292" s="4">
        <v>13.71</v>
      </c>
      <c r="N1292" s="4">
        <v>14.15</v>
      </c>
      <c r="O1292" s="5">
        <v>14.65</v>
      </c>
      <c r="P1292" s="5">
        <v>15.45</v>
      </c>
    </row>
    <row r="1293" spans="1:16" ht="15" customHeight="1" x14ac:dyDescent="0.35">
      <c r="A1293" s="1">
        <v>5</v>
      </c>
      <c r="B1293" s="4">
        <v>6.13</v>
      </c>
      <c r="C1293" s="4">
        <v>6.13</v>
      </c>
      <c r="D1293" s="5">
        <v>6.31</v>
      </c>
      <c r="E1293" s="5">
        <v>6.85</v>
      </c>
      <c r="F1293" s="5">
        <v>7.12</v>
      </c>
      <c r="G1293" s="5">
        <v>7.54</v>
      </c>
      <c r="H1293" s="5">
        <v>7.99</v>
      </c>
      <c r="I1293" s="5">
        <v>42.35</v>
      </c>
      <c r="J1293" s="4">
        <v>8.9600000000000009</v>
      </c>
      <c r="K1293" s="4">
        <v>39.380000000000003</v>
      </c>
      <c r="L1293" s="4">
        <v>9.19</v>
      </c>
      <c r="M1293" s="4">
        <v>13.71</v>
      </c>
      <c r="N1293" s="4">
        <v>14.15</v>
      </c>
      <c r="O1293" s="5">
        <v>16.670000000000002</v>
      </c>
      <c r="P1293" s="5">
        <v>17.559999999999999</v>
      </c>
    </row>
    <row r="1294" spans="1:16" ht="15" customHeight="1" x14ac:dyDescent="0.35">
      <c r="A1294" s="1">
        <v>6</v>
      </c>
      <c r="B1294" s="4">
        <v>6.13</v>
      </c>
      <c r="C1294" s="4">
        <v>6.13</v>
      </c>
      <c r="D1294" s="5">
        <v>6.37</v>
      </c>
      <c r="E1294" s="5">
        <v>6.88</v>
      </c>
      <c r="F1294" s="5">
        <v>7.13</v>
      </c>
      <c r="G1294" s="5">
        <v>7.54</v>
      </c>
      <c r="H1294" s="5">
        <v>7.99</v>
      </c>
      <c r="I1294" s="5">
        <v>45.71</v>
      </c>
      <c r="J1294" s="4">
        <v>8.9600000000000009</v>
      </c>
      <c r="K1294" s="4">
        <v>39.380000000000003</v>
      </c>
      <c r="L1294" s="4">
        <v>9.19</v>
      </c>
      <c r="M1294" s="5">
        <v>14.35</v>
      </c>
      <c r="N1294" s="5">
        <v>15.08</v>
      </c>
      <c r="O1294" s="5">
        <v>18.77</v>
      </c>
      <c r="P1294" s="5">
        <v>19.739999999999998</v>
      </c>
    </row>
    <row r="1295" spans="1:16" ht="15" customHeight="1" x14ac:dyDescent="0.35">
      <c r="A1295" s="1">
        <v>7</v>
      </c>
      <c r="B1295" s="4">
        <v>6.13</v>
      </c>
      <c r="C1295" s="4">
        <v>6.13</v>
      </c>
      <c r="D1295" s="5">
        <v>6.54</v>
      </c>
      <c r="E1295" s="5">
        <v>7.09</v>
      </c>
      <c r="F1295" s="5">
        <v>7.26</v>
      </c>
      <c r="G1295" s="5">
        <v>7.75</v>
      </c>
      <c r="H1295" s="5">
        <v>8.2899999999999991</v>
      </c>
      <c r="I1295" s="5">
        <v>48.8</v>
      </c>
      <c r="J1295" s="4">
        <v>8.9600000000000009</v>
      </c>
      <c r="K1295" s="4">
        <v>39.380000000000003</v>
      </c>
      <c r="L1295" s="4">
        <v>9.19</v>
      </c>
      <c r="M1295" s="5">
        <v>15.89</v>
      </c>
      <c r="N1295" s="5">
        <v>16.73</v>
      </c>
      <c r="O1295" s="5">
        <v>20.8</v>
      </c>
      <c r="P1295" s="5">
        <v>21.89</v>
      </c>
    </row>
    <row r="1296" spans="1:16" ht="15" customHeight="1" x14ac:dyDescent="0.35">
      <c r="A1296" s="1">
        <v>8</v>
      </c>
      <c r="B1296" s="4">
        <v>6.13</v>
      </c>
      <c r="C1296" s="4">
        <v>6.13</v>
      </c>
      <c r="D1296" s="5">
        <v>6.76</v>
      </c>
      <c r="E1296" s="5">
        <v>7.3</v>
      </c>
      <c r="F1296" s="5">
        <v>7.55</v>
      </c>
      <c r="G1296" s="5">
        <v>8.06</v>
      </c>
      <c r="H1296" s="5">
        <v>8.65</v>
      </c>
      <c r="I1296" s="5">
        <v>50.71</v>
      </c>
      <c r="J1296" s="4">
        <v>8.9600000000000009</v>
      </c>
      <c r="K1296" s="4">
        <v>39.380000000000003</v>
      </c>
      <c r="L1296" s="4">
        <v>9.19</v>
      </c>
      <c r="M1296" s="5">
        <v>17.46</v>
      </c>
      <c r="N1296" s="5">
        <v>18.43</v>
      </c>
      <c r="O1296" s="5">
        <v>22.85</v>
      </c>
      <c r="P1296" s="5">
        <v>24.11</v>
      </c>
    </row>
    <row r="1297" spans="1:16" ht="15" customHeight="1" x14ac:dyDescent="0.35">
      <c r="A1297" s="1">
        <v>9</v>
      </c>
      <c r="B1297" s="4">
        <v>6.13</v>
      </c>
      <c r="C1297" s="5">
        <v>6.21</v>
      </c>
      <c r="D1297" s="5">
        <v>6.79</v>
      </c>
      <c r="E1297" s="5">
        <v>7.36</v>
      </c>
      <c r="F1297" s="5">
        <v>7.71</v>
      </c>
      <c r="G1297" s="5">
        <v>8.39</v>
      </c>
      <c r="H1297" s="5">
        <v>9.11</v>
      </c>
      <c r="I1297" s="5">
        <v>54.28</v>
      </c>
      <c r="J1297" s="4">
        <v>8.9600000000000009</v>
      </c>
      <c r="K1297" s="5">
        <v>41.48</v>
      </c>
      <c r="L1297" s="4">
        <v>9.19</v>
      </c>
      <c r="M1297" s="5">
        <v>19.010000000000002</v>
      </c>
      <c r="N1297" s="5">
        <v>20.100000000000001</v>
      </c>
      <c r="O1297" s="5">
        <v>24.88</v>
      </c>
      <c r="P1297" s="5">
        <v>26.3</v>
      </c>
    </row>
    <row r="1298" spans="1:16" ht="15" customHeight="1" x14ac:dyDescent="0.35">
      <c r="A1298" s="1">
        <v>10</v>
      </c>
      <c r="B1298" s="4">
        <v>6.13</v>
      </c>
      <c r="C1298" s="5">
        <v>6.28</v>
      </c>
      <c r="D1298" s="5">
        <v>6.86</v>
      </c>
      <c r="E1298" s="5">
        <v>7.56</v>
      </c>
      <c r="F1298" s="5">
        <v>7.8</v>
      </c>
      <c r="G1298" s="5">
        <v>8.7899999999999991</v>
      </c>
      <c r="H1298" s="5">
        <v>9.7100000000000009</v>
      </c>
      <c r="I1298" s="5">
        <v>57.67</v>
      </c>
      <c r="J1298" s="4">
        <v>8.9600000000000009</v>
      </c>
      <c r="K1298" s="5">
        <v>44.07</v>
      </c>
      <c r="L1298" s="4">
        <v>9.19</v>
      </c>
      <c r="M1298" s="5">
        <v>20.56</v>
      </c>
      <c r="N1298" s="5">
        <v>21.8</v>
      </c>
      <c r="O1298" s="5">
        <v>26.9</v>
      </c>
      <c r="P1298" s="5">
        <v>28.53</v>
      </c>
    </row>
    <row r="1299" spans="1:16" ht="15" customHeight="1" x14ac:dyDescent="0.35">
      <c r="A1299" s="1">
        <v>11</v>
      </c>
      <c r="B1299" s="4">
        <v>6.13</v>
      </c>
      <c r="C1299" s="4">
        <v>6.13</v>
      </c>
      <c r="D1299" s="5">
        <v>6.54</v>
      </c>
      <c r="E1299" s="5">
        <v>7.1</v>
      </c>
      <c r="F1299" s="5">
        <v>7.53</v>
      </c>
      <c r="G1299" s="5">
        <v>8.8800000000000008</v>
      </c>
      <c r="H1299" s="5">
        <v>9.64</v>
      </c>
      <c r="I1299" s="5">
        <v>61.19</v>
      </c>
      <c r="J1299" s="4">
        <v>8.9600000000000009</v>
      </c>
      <c r="K1299" s="5">
        <v>46.76</v>
      </c>
      <c r="L1299" s="4">
        <v>9.19</v>
      </c>
      <c r="M1299" s="5">
        <v>22.28</v>
      </c>
      <c r="N1299" s="5">
        <v>23.63</v>
      </c>
      <c r="O1299" s="5">
        <v>29.15</v>
      </c>
      <c r="P1299" s="5">
        <v>30.93</v>
      </c>
    </row>
    <row r="1300" spans="1:16" ht="15" customHeight="1" x14ac:dyDescent="0.35">
      <c r="A1300" s="1">
        <v>12</v>
      </c>
      <c r="B1300" s="4">
        <v>6.13</v>
      </c>
      <c r="C1300" s="5">
        <v>6.21</v>
      </c>
      <c r="D1300" s="5">
        <v>6.61</v>
      </c>
      <c r="E1300" s="5">
        <v>7.2</v>
      </c>
      <c r="F1300" s="5">
        <v>7.79</v>
      </c>
      <c r="G1300" s="5">
        <v>9.23</v>
      </c>
      <c r="H1300" s="5">
        <v>10.09</v>
      </c>
      <c r="I1300" s="5">
        <v>63.81</v>
      </c>
      <c r="J1300" s="4">
        <v>8.9600000000000009</v>
      </c>
      <c r="K1300" s="5">
        <v>48.77</v>
      </c>
      <c r="L1300" s="4">
        <v>9.19</v>
      </c>
      <c r="M1300" s="5">
        <v>23.79</v>
      </c>
      <c r="N1300" s="5">
        <v>25.26</v>
      </c>
      <c r="O1300" s="5">
        <v>31.13</v>
      </c>
      <c r="P1300" s="5">
        <v>33.049999999999997</v>
      </c>
    </row>
    <row r="1301" spans="1:16" ht="15" customHeight="1" x14ac:dyDescent="0.35">
      <c r="A1301" s="1">
        <v>13</v>
      </c>
      <c r="B1301" s="4">
        <v>6.13</v>
      </c>
      <c r="C1301" s="5">
        <v>6.24</v>
      </c>
      <c r="D1301" s="5">
        <v>6.68</v>
      </c>
      <c r="E1301" s="5">
        <v>7.33</v>
      </c>
      <c r="F1301" s="5">
        <v>8.0299999999999994</v>
      </c>
      <c r="G1301" s="5">
        <v>9.8000000000000007</v>
      </c>
      <c r="H1301" s="5">
        <v>10.55</v>
      </c>
      <c r="I1301" s="5">
        <v>66.459999999999994</v>
      </c>
      <c r="J1301" s="4">
        <v>8.9600000000000009</v>
      </c>
      <c r="K1301" s="5">
        <v>50.79</v>
      </c>
      <c r="L1301" s="5">
        <v>9.4700000000000006</v>
      </c>
      <c r="M1301" s="5">
        <v>25.2</v>
      </c>
      <c r="N1301" s="5">
        <v>26.81</v>
      </c>
      <c r="O1301" s="5">
        <v>32.979999999999997</v>
      </c>
      <c r="P1301" s="5">
        <v>35.090000000000003</v>
      </c>
    </row>
    <row r="1302" spans="1:16" ht="15" customHeight="1" x14ac:dyDescent="0.35">
      <c r="A1302" s="1">
        <v>14</v>
      </c>
      <c r="B1302" s="4">
        <v>6.13</v>
      </c>
      <c r="C1302" s="5">
        <v>6.41</v>
      </c>
      <c r="D1302" s="5">
        <v>6.75</v>
      </c>
      <c r="E1302" s="5">
        <v>7.51</v>
      </c>
      <c r="F1302" s="5">
        <v>8.5</v>
      </c>
      <c r="G1302" s="5">
        <v>10.5</v>
      </c>
      <c r="H1302" s="5">
        <v>11.47</v>
      </c>
      <c r="I1302" s="5">
        <v>69.209999999999994</v>
      </c>
      <c r="J1302" s="4">
        <v>8.9600000000000009</v>
      </c>
      <c r="K1302" s="5">
        <v>52.89</v>
      </c>
      <c r="L1302" s="5">
        <v>9.7799999999999994</v>
      </c>
      <c r="M1302" s="5">
        <v>26.5</v>
      </c>
      <c r="N1302" s="5">
        <v>28.37</v>
      </c>
      <c r="O1302" s="5">
        <v>34.68</v>
      </c>
      <c r="P1302" s="5">
        <v>37.130000000000003</v>
      </c>
    </row>
    <row r="1303" spans="1:16" ht="15" customHeight="1" x14ac:dyDescent="0.35">
      <c r="A1303" s="1">
        <v>15</v>
      </c>
      <c r="B1303" s="4">
        <v>6.13</v>
      </c>
      <c r="C1303" s="5">
        <v>6.55</v>
      </c>
      <c r="D1303" s="5">
        <v>6.84</v>
      </c>
      <c r="E1303" s="5">
        <v>7.78</v>
      </c>
      <c r="F1303" s="5">
        <v>8.9700000000000006</v>
      </c>
      <c r="G1303" s="5">
        <v>10.83</v>
      </c>
      <c r="H1303" s="5">
        <v>11.94</v>
      </c>
      <c r="I1303" s="5">
        <v>71.760000000000005</v>
      </c>
      <c r="J1303" s="4">
        <v>8.9600000000000009</v>
      </c>
      <c r="K1303" s="5">
        <v>54.84</v>
      </c>
      <c r="L1303" s="5">
        <v>10.08</v>
      </c>
      <c r="M1303" s="5">
        <v>27.84</v>
      </c>
      <c r="N1303" s="5">
        <v>29.92</v>
      </c>
      <c r="O1303" s="5">
        <v>36.43</v>
      </c>
      <c r="P1303" s="5">
        <v>39.15</v>
      </c>
    </row>
    <row r="1304" spans="1:16" ht="15" customHeight="1" x14ac:dyDescent="0.35">
      <c r="A1304" s="1">
        <v>16</v>
      </c>
      <c r="B1304" s="5">
        <v>6.23</v>
      </c>
      <c r="C1304" s="5">
        <v>6.74</v>
      </c>
      <c r="D1304" s="5">
        <v>6.97</v>
      </c>
      <c r="E1304" s="5">
        <v>7.91</v>
      </c>
      <c r="F1304" s="5">
        <v>9.26</v>
      </c>
      <c r="G1304" s="5">
        <v>11.4</v>
      </c>
      <c r="H1304" s="5">
        <v>12.54</v>
      </c>
      <c r="I1304" s="5">
        <v>74.97</v>
      </c>
      <c r="J1304" s="4">
        <v>8.9600000000000009</v>
      </c>
      <c r="K1304" s="5">
        <v>57.29</v>
      </c>
      <c r="L1304" s="5">
        <v>10.32</v>
      </c>
      <c r="M1304" s="5">
        <v>29.08</v>
      </c>
      <c r="N1304" s="5">
        <v>31.33</v>
      </c>
      <c r="O1304" s="5">
        <v>38.049999999999997</v>
      </c>
      <c r="P1304" s="5">
        <v>41</v>
      </c>
    </row>
    <row r="1305" spans="1:16" ht="15" customHeight="1" x14ac:dyDescent="0.35">
      <c r="A1305" s="1">
        <v>17</v>
      </c>
      <c r="B1305" s="5">
        <v>6.27</v>
      </c>
      <c r="C1305" s="5">
        <v>6.88</v>
      </c>
      <c r="D1305" s="5">
        <v>7.05</v>
      </c>
      <c r="E1305" s="5">
        <v>8.14</v>
      </c>
      <c r="F1305" s="5">
        <v>9.66</v>
      </c>
      <c r="G1305" s="5">
        <v>11.98</v>
      </c>
      <c r="H1305" s="5">
        <v>12.54</v>
      </c>
      <c r="I1305" s="5">
        <v>78.17</v>
      </c>
      <c r="J1305" s="4">
        <v>8.9600000000000009</v>
      </c>
      <c r="K1305" s="5">
        <v>59.73</v>
      </c>
      <c r="L1305" s="5">
        <v>10.64</v>
      </c>
      <c r="M1305" s="5">
        <v>30.47</v>
      </c>
      <c r="N1305" s="5">
        <v>32.96</v>
      </c>
      <c r="O1305" s="5">
        <v>39.869999999999997</v>
      </c>
      <c r="P1305" s="5">
        <v>43.13</v>
      </c>
    </row>
    <row r="1306" spans="1:16" ht="15" customHeight="1" x14ac:dyDescent="0.35">
      <c r="A1306" s="1">
        <v>18</v>
      </c>
      <c r="B1306" s="5">
        <v>6.34</v>
      </c>
      <c r="C1306" s="5">
        <v>6.97</v>
      </c>
      <c r="D1306" s="5">
        <v>7.12</v>
      </c>
      <c r="E1306" s="5">
        <v>8.5299999999999994</v>
      </c>
      <c r="F1306" s="5">
        <v>10.16</v>
      </c>
      <c r="G1306" s="5">
        <v>12.34</v>
      </c>
      <c r="H1306" s="5">
        <v>13.52</v>
      </c>
      <c r="I1306" s="5">
        <v>81.400000000000006</v>
      </c>
      <c r="J1306" s="4">
        <v>8.9600000000000009</v>
      </c>
      <c r="K1306" s="5">
        <v>62.2</v>
      </c>
      <c r="L1306" s="5">
        <v>10.94</v>
      </c>
      <c r="M1306" s="5">
        <v>31.89</v>
      </c>
      <c r="N1306" s="5">
        <v>34.590000000000003</v>
      </c>
      <c r="O1306" s="5">
        <v>41.73</v>
      </c>
      <c r="P1306" s="5">
        <v>45.26</v>
      </c>
    </row>
    <row r="1307" spans="1:16" ht="15" customHeight="1" x14ac:dyDescent="0.35">
      <c r="A1307" s="1">
        <v>19</v>
      </c>
      <c r="B1307" s="5">
        <v>6.51</v>
      </c>
      <c r="C1307" s="5">
        <v>7.31</v>
      </c>
      <c r="D1307" s="5">
        <v>7.51</v>
      </c>
      <c r="E1307" s="5">
        <v>8.93</v>
      </c>
      <c r="F1307" s="5">
        <v>10.46</v>
      </c>
      <c r="G1307" s="5">
        <v>12.71</v>
      </c>
      <c r="H1307" s="5">
        <v>14.17</v>
      </c>
      <c r="I1307" s="5">
        <v>84.61</v>
      </c>
      <c r="J1307" s="4">
        <v>8.9600000000000009</v>
      </c>
      <c r="K1307" s="5">
        <v>64.66</v>
      </c>
      <c r="L1307" s="5">
        <v>11.28</v>
      </c>
      <c r="M1307" s="5">
        <v>33.26</v>
      </c>
      <c r="N1307" s="5">
        <v>36.21</v>
      </c>
      <c r="O1307" s="5">
        <v>43.53</v>
      </c>
      <c r="P1307" s="5">
        <v>47.38</v>
      </c>
    </row>
    <row r="1308" spans="1:16" ht="15" customHeight="1" x14ac:dyDescent="0.35">
      <c r="A1308" s="1">
        <v>20</v>
      </c>
      <c r="B1308" s="5">
        <v>6.56</v>
      </c>
      <c r="C1308" s="5">
        <v>7.37</v>
      </c>
      <c r="D1308" s="5">
        <v>7.55</v>
      </c>
      <c r="E1308" s="5">
        <v>9.2799999999999994</v>
      </c>
      <c r="F1308" s="5">
        <v>10.81</v>
      </c>
      <c r="G1308" s="5">
        <v>13.18</v>
      </c>
      <c r="H1308" s="5">
        <v>14.68</v>
      </c>
      <c r="I1308" s="5">
        <v>87.44</v>
      </c>
      <c r="J1308" s="4">
        <v>8.9600000000000009</v>
      </c>
      <c r="K1308" s="5">
        <v>66.819999999999993</v>
      </c>
      <c r="L1308" s="5">
        <v>11.57</v>
      </c>
      <c r="M1308" s="5">
        <v>34.6</v>
      </c>
      <c r="N1308" s="5">
        <v>37.85</v>
      </c>
      <c r="O1308" s="5">
        <v>45.28</v>
      </c>
      <c r="P1308" s="5">
        <v>49.53</v>
      </c>
    </row>
    <row r="1309" spans="1:16" ht="15" customHeight="1" x14ac:dyDescent="0.35">
      <c r="A1309" s="1">
        <v>21</v>
      </c>
      <c r="B1309" s="4">
        <v>6.13</v>
      </c>
      <c r="C1309" s="5">
        <v>6.81</v>
      </c>
      <c r="D1309" s="5">
        <v>7.07</v>
      </c>
      <c r="E1309" s="5">
        <v>8.35</v>
      </c>
      <c r="F1309" s="5">
        <v>9.91</v>
      </c>
      <c r="G1309" s="5">
        <v>12.04</v>
      </c>
      <c r="H1309" s="5">
        <v>13.45</v>
      </c>
      <c r="I1309" s="5">
        <v>89.44</v>
      </c>
      <c r="J1309" s="4">
        <v>8.9600000000000009</v>
      </c>
      <c r="K1309" s="5">
        <v>68.349999999999994</v>
      </c>
      <c r="L1309" s="5">
        <v>11.93</v>
      </c>
      <c r="M1309" s="5">
        <v>35.81</v>
      </c>
      <c r="N1309" s="5">
        <v>39.479999999999997</v>
      </c>
      <c r="O1309" s="5">
        <v>46.87</v>
      </c>
      <c r="P1309" s="5">
        <v>51.66</v>
      </c>
    </row>
    <row r="1310" spans="1:16" ht="15" customHeight="1" x14ac:dyDescent="0.35">
      <c r="A1310" s="1">
        <v>22</v>
      </c>
      <c r="B1310" s="4">
        <v>6.13</v>
      </c>
      <c r="C1310" s="5">
        <v>6.88</v>
      </c>
      <c r="D1310" s="5">
        <v>7.25</v>
      </c>
      <c r="E1310" s="5">
        <v>8.58</v>
      </c>
      <c r="F1310" s="5">
        <v>10.32</v>
      </c>
      <c r="G1310" s="5">
        <v>12.49</v>
      </c>
      <c r="H1310" s="5">
        <v>14.04</v>
      </c>
      <c r="I1310" s="5">
        <v>92.24</v>
      </c>
      <c r="J1310" s="4">
        <v>8.9600000000000009</v>
      </c>
      <c r="K1310" s="5">
        <v>70.489999999999995</v>
      </c>
      <c r="L1310" s="5">
        <v>12.2</v>
      </c>
      <c r="M1310" s="5">
        <v>36.99</v>
      </c>
      <c r="N1310" s="5">
        <v>41.04</v>
      </c>
      <c r="O1310" s="5">
        <v>48.4</v>
      </c>
      <c r="P1310" s="5">
        <v>53.7</v>
      </c>
    </row>
    <row r="1311" spans="1:16" ht="15" customHeight="1" x14ac:dyDescent="0.35">
      <c r="A1311" s="1">
        <v>23</v>
      </c>
      <c r="B1311" s="4">
        <v>6.13</v>
      </c>
      <c r="C1311" s="5">
        <v>7.01</v>
      </c>
      <c r="D1311" s="5">
        <v>7.41</v>
      </c>
      <c r="E1311" s="5">
        <v>8.74</v>
      </c>
      <c r="F1311" s="5">
        <v>10.71</v>
      </c>
      <c r="G1311" s="5">
        <v>12.79</v>
      </c>
      <c r="H1311" s="5">
        <v>14.6</v>
      </c>
      <c r="I1311" s="5">
        <v>95.02</v>
      </c>
      <c r="J1311" s="4">
        <v>8.9600000000000009</v>
      </c>
      <c r="K1311" s="5">
        <v>72.61</v>
      </c>
      <c r="L1311" s="5">
        <v>12.52</v>
      </c>
      <c r="M1311" s="5">
        <v>38.15</v>
      </c>
      <c r="N1311" s="5">
        <v>42.58</v>
      </c>
      <c r="O1311" s="5">
        <v>49.92</v>
      </c>
      <c r="P1311" s="5">
        <v>55.72</v>
      </c>
    </row>
    <row r="1312" spans="1:16" ht="15" customHeight="1" x14ac:dyDescent="0.35">
      <c r="A1312" s="1">
        <v>24</v>
      </c>
      <c r="B1312" s="5">
        <v>6.25</v>
      </c>
      <c r="C1312" s="5">
        <v>7.29</v>
      </c>
      <c r="D1312" s="5">
        <v>7.8</v>
      </c>
      <c r="E1312" s="5">
        <v>9.2100000000000009</v>
      </c>
      <c r="F1312" s="5">
        <v>11.22</v>
      </c>
      <c r="G1312" s="5">
        <v>13.22</v>
      </c>
      <c r="H1312" s="5">
        <v>15.44</v>
      </c>
      <c r="I1312" s="5">
        <v>98.14</v>
      </c>
      <c r="J1312" s="4">
        <v>8.9600000000000009</v>
      </c>
      <c r="K1312" s="5">
        <v>75</v>
      </c>
      <c r="L1312" s="5">
        <v>12.84</v>
      </c>
      <c r="M1312" s="5">
        <v>39.29</v>
      </c>
      <c r="N1312" s="5">
        <v>44.13</v>
      </c>
      <c r="O1312" s="5">
        <v>51.41</v>
      </c>
      <c r="P1312" s="5">
        <v>57.75</v>
      </c>
    </row>
    <row r="1313" spans="1:16" ht="15" customHeight="1" x14ac:dyDescent="0.35">
      <c r="A1313" s="1">
        <v>25</v>
      </c>
      <c r="B1313" s="5">
        <v>6.27</v>
      </c>
      <c r="C1313" s="5">
        <v>7.32</v>
      </c>
      <c r="D1313" s="5">
        <v>7.83</v>
      </c>
      <c r="E1313" s="5">
        <v>9.3800000000000008</v>
      </c>
      <c r="F1313" s="5">
        <v>11.54</v>
      </c>
      <c r="G1313" s="5">
        <v>13.95</v>
      </c>
      <c r="H1313" s="5">
        <v>15.91</v>
      </c>
      <c r="I1313" s="5">
        <v>101.18</v>
      </c>
      <c r="J1313" s="4">
        <v>8.9600000000000009</v>
      </c>
      <c r="K1313" s="5">
        <v>77.319999999999993</v>
      </c>
      <c r="L1313" s="5">
        <v>13.2</v>
      </c>
      <c r="M1313" s="5">
        <v>40.549999999999997</v>
      </c>
      <c r="N1313" s="5">
        <v>45.65</v>
      </c>
      <c r="O1313" s="5">
        <v>53.07</v>
      </c>
      <c r="P1313" s="5">
        <v>59.74</v>
      </c>
    </row>
    <row r="1314" spans="1:16" ht="15" customHeight="1" x14ac:dyDescent="0.35">
      <c r="A1314" s="1">
        <v>26</v>
      </c>
      <c r="B1314" s="4">
        <v>6.13</v>
      </c>
      <c r="C1314" s="5">
        <v>6.39</v>
      </c>
      <c r="D1314" s="5">
        <v>6.89</v>
      </c>
      <c r="E1314" s="5">
        <v>8.24</v>
      </c>
      <c r="F1314" s="5">
        <v>10.09</v>
      </c>
      <c r="G1314" s="5">
        <v>12.25</v>
      </c>
      <c r="H1314" s="5">
        <v>13.98</v>
      </c>
      <c r="I1314" s="5">
        <v>104.38</v>
      </c>
      <c r="J1314" s="4">
        <v>8.9600000000000009</v>
      </c>
      <c r="K1314" s="5">
        <v>79.760000000000005</v>
      </c>
      <c r="L1314" s="5">
        <v>13.55</v>
      </c>
      <c r="M1314" s="5">
        <v>41.8</v>
      </c>
      <c r="N1314" s="5">
        <v>47.14</v>
      </c>
      <c r="O1314" s="5">
        <v>54.69</v>
      </c>
      <c r="P1314" s="5">
        <v>61.69</v>
      </c>
    </row>
    <row r="1315" spans="1:16" ht="15" customHeight="1" x14ac:dyDescent="0.35">
      <c r="A1315" s="1">
        <v>27</v>
      </c>
      <c r="B1315" s="4">
        <v>6.13</v>
      </c>
      <c r="C1315" s="5">
        <v>6.54</v>
      </c>
      <c r="D1315" s="5">
        <v>7.03</v>
      </c>
      <c r="E1315" s="5">
        <v>8.3800000000000008</v>
      </c>
      <c r="F1315" s="5">
        <v>10.5</v>
      </c>
      <c r="G1315" s="5">
        <v>12.48</v>
      </c>
      <c r="H1315" s="5">
        <v>14.22</v>
      </c>
      <c r="I1315" s="5">
        <v>107.28</v>
      </c>
      <c r="J1315" s="4">
        <v>8.9600000000000009</v>
      </c>
      <c r="K1315" s="5">
        <v>81.98</v>
      </c>
      <c r="L1315" s="5">
        <v>13.89</v>
      </c>
      <c r="M1315" s="5">
        <v>43</v>
      </c>
      <c r="N1315" s="5">
        <v>48.61</v>
      </c>
      <c r="O1315" s="5">
        <v>56.27</v>
      </c>
      <c r="P1315" s="5">
        <v>63.61</v>
      </c>
    </row>
    <row r="1316" spans="1:16" ht="15" customHeight="1" x14ac:dyDescent="0.35">
      <c r="A1316" s="1">
        <v>28</v>
      </c>
      <c r="B1316" s="4">
        <v>6.13</v>
      </c>
      <c r="C1316" s="5">
        <v>6.7</v>
      </c>
      <c r="D1316" s="5">
        <v>7.35</v>
      </c>
      <c r="E1316" s="5">
        <v>8.8699999999999992</v>
      </c>
      <c r="F1316" s="5">
        <v>11.01</v>
      </c>
      <c r="G1316" s="5">
        <v>13.04</v>
      </c>
      <c r="H1316" s="5">
        <v>14.76</v>
      </c>
      <c r="I1316" s="5">
        <v>110.16</v>
      </c>
      <c r="J1316" s="4">
        <v>8.9600000000000009</v>
      </c>
      <c r="K1316" s="5">
        <v>84.18</v>
      </c>
      <c r="L1316" s="5">
        <v>14.21</v>
      </c>
      <c r="M1316" s="5">
        <v>44.24</v>
      </c>
      <c r="N1316" s="5">
        <v>50.09</v>
      </c>
      <c r="O1316" s="5">
        <v>57.9</v>
      </c>
      <c r="P1316" s="5">
        <v>65.540000000000006</v>
      </c>
    </row>
    <row r="1317" spans="1:16" ht="15" customHeight="1" x14ac:dyDescent="0.35">
      <c r="A1317" s="1">
        <v>29</v>
      </c>
      <c r="B1317" s="4">
        <v>6.13</v>
      </c>
      <c r="C1317" s="5">
        <v>6.83</v>
      </c>
      <c r="D1317" s="5">
        <v>7.42</v>
      </c>
      <c r="E1317" s="5">
        <v>8.8699999999999992</v>
      </c>
      <c r="F1317" s="5">
        <v>11.33</v>
      </c>
      <c r="G1317" s="5">
        <v>13.33</v>
      </c>
      <c r="H1317" s="5">
        <v>15.15</v>
      </c>
      <c r="I1317" s="5">
        <v>112.87</v>
      </c>
      <c r="J1317" s="5">
        <v>9.06</v>
      </c>
      <c r="K1317" s="5">
        <v>86.25</v>
      </c>
      <c r="L1317" s="5">
        <v>14.56</v>
      </c>
      <c r="M1317" s="5">
        <v>45.5</v>
      </c>
      <c r="N1317" s="5">
        <v>51.51</v>
      </c>
      <c r="O1317" s="5">
        <v>59.55</v>
      </c>
      <c r="P1317" s="5">
        <v>67.41</v>
      </c>
    </row>
    <row r="1318" spans="1:16" ht="15" customHeight="1" x14ac:dyDescent="0.35">
      <c r="A1318" s="1">
        <v>30</v>
      </c>
      <c r="B1318" s="4">
        <v>6.13</v>
      </c>
      <c r="C1318" s="5">
        <v>6.99</v>
      </c>
      <c r="D1318" s="5">
        <v>7.7</v>
      </c>
      <c r="E1318" s="5">
        <v>9.2200000000000006</v>
      </c>
      <c r="F1318" s="5">
        <v>11.51</v>
      </c>
      <c r="G1318" s="5">
        <v>13.4</v>
      </c>
      <c r="H1318" s="5">
        <v>15.78</v>
      </c>
      <c r="I1318" s="5">
        <v>115.57</v>
      </c>
      <c r="J1318" s="5">
        <v>9.1</v>
      </c>
      <c r="K1318" s="5">
        <v>88.32</v>
      </c>
      <c r="L1318" s="5">
        <v>14.85</v>
      </c>
      <c r="M1318" s="5">
        <v>46.74</v>
      </c>
      <c r="N1318" s="5">
        <v>53</v>
      </c>
      <c r="O1318" s="5">
        <v>61.16</v>
      </c>
      <c r="P1318" s="5">
        <v>69.349999999999994</v>
      </c>
    </row>
    <row r="1319" spans="1:16" ht="15" customHeight="1" x14ac:dyDescent="0.35">
      <c r="A1319" s="1">
        <v>31</v>
      </c>
      <c r="B1319" s="5">
        <v>6.16</v>
      </c>
      <c r="C1319" s="5">
        <v>7.14</v>
      </c>
      <c r="D1319" s="5">
        <v>7.85</v>
      </c>
      <c r="E1319" s="5">
        <v>9.34</v>
      </c>
      <c r="F1319" s="5">
        <v>11.84</v>
      </c>
      <c r="G1319" s="5">
        <v>13.9</v>
      </c>
      <c r="H1319" s="5">
        <v>16.29</v>
      </c>
      <c r="I1319" s="5">
        <v>115.58</v>
      </c>
      <c r="J1319" s="5">
        <v>9.2200000000000006</v>
      </c>
      <c r="K1319" s="5">
        <v>88.33</v>
      </c>
      <c r="L1319" s="5">
        <v>15.17</v>
      </c>
      <c r="M1319" s="5">
        <v>47.99</v>
      </c>
      <c r="N1319" s="5">
        <v>54.4</v>
      </c>
      <c r="O1319" s="5">
        <v>62.8</v>
      </c>
      <c r="P1319" s="5">
        <v>71.19</v>
      </c>
    </row>
    <row r="1320" spans="1:16" ht="15" customHeight="1" x14ac:dyDescent="0.35">
      <c r="A1320" s="1">
        <v>32</v>
      </c>
      <c r="B1320" s="5">
        <v>6.16</v>
      </c>
      <c r="C1320" s="5">
        <v>7.15</v>
      </c>
      <c r="D1320" s="5">
        <v>7.86</v>
      </c>
      <c r="E1320" s="5">
        <v>9.34</v>
      </c>
      <c r="F1320" s="5">
        <v>11.85</v>
      </c>
      <c r="G1320" s="5">
        <v>13.9</v>
      </c>
      <c r="H1320" s="5">
        <v>16.46</v>
      </c>
      <c r="I1320" s="5">
        <v>115.98</v>
      </c>
      <c r="J1320" s="5">
        <v>9.2899999999999991</v>
      </c>
      <c r="K1320" s="5">
        <v>88.63</v>
      </c>
      <c r="L1320" s="5">
        <v>15.41</v>
      </c>
      <c r="M1320" s="5">
        <v>49.13</v>
      </c>
      <c r="N1320" s="5">
        <v>55.7</v>
      </c>
      <c r="O1320" s="5">
        <v>64.3</v>
      </c>
      <c r="P1320" s="5">
        <v>72.89</v>
      </c>
    </row>
    <row r="1321" spans="1:16" ht="15" customHeight="1" x14ac:dyDescent="0.35">
      <c r="A1321" s="1">
        <v>33</v>
      </c>
      <c r="B1321" s="5">
        <v>6.19</v>
      </c>
      <c r="C1321" s="5">
        <v>7.25</v>
      </c>
      <c r="D1321" s="5">
        <v>8.2100000000000009</v>
      </c>
      <c r="E1321" s="5">
        <v>9.7799999999999994</v>
      </c>
      <c r="F1321" s="5">
        <v>12.59</v>
      </c>
      <c r="G1321" s="5">
        <v>14.36</v>
      </c>
      <c r="H1321" s="5">
        <v>16.91</v>
      </c>
      <c r="I1321" s="5">
        <v>118.41</v>
      </c>
      <c r="J1321" s="5">
        <v>9.35</v>
      </c>
      <c r="K1321" s="5">
        <v>90.49</v>
      </c>
      <c r="L1321" s="5">
        <v>15.65</v>
      </c>
      <c r="M1321" s="5">
        <v>50.27</v>
      </c>
      <c r="N1321" s="5">
        <v>56.89</v>
      </c>
      <c r="O1321" s="5">
        <v>65.78</v>
      </c>
      <c r="P1321" s="5">
        <v>74.45</v>
      </c>
    </row>
    <row r="1322" spans="1:16" ht="15" customHeight="1" x14ac:dyDescent="0.35">
      <c r="A1322" s="1">
        <v>34</v>
      </c>
      <c r="B1322" s="5">
        <v>6.23</v>
      </c>
      <c r="C1322" s="5">
        <v>7.41</v>
      </c>
      <c r="D1322" s="5">
        <v>8.4700000000000006</v>
      </c>
      <c r="E1322" s="5">
        <v>10.119999999999999</v>
      </c>
      <c r="F1322" s="5">
        <v>12.6</v>
      </c>
      <c r="G1322" s="5">
        <v>14.79</v>
      </c>
      <c r="H1322" s="5">
        <v>17.72</v>
      </c>
      <c r="I1322" s="5">
        <v>121.07</v>
      </c>
      <c r="J1322" s="5">
        <v>9.49</v>
      </c>
      <c r="K1322" s="5">
        <v>92.52</v>
      </c>
      <c r="L1322" s="5">
        <v>15.96</v>
      </c>
      <c r="M1322" s="5">
        <v>51.38</v>
      </c>
      <c r="N1322" s="5">
        <v>58.03</v>
      </c>
      <c r="O1322" s="5">
        <v>67.23</v>
      </c>
      <c r="P1322" s="5">
        <v>75.930000000000007</v>
      </c>
    </row>
    <row r="1323" spans="1:16" ht="15" customHeight="1" x14ac:dyDescent="0.35">
      <c r="A1323" s="1">
        <v>35</v>
      </c>
      <c r="B1323" s="5">
        <v>6.35</v>
      </c>
      <c r="C1323" s="5">
        <v>7.81</v>
      </c>
      <c r="D1323" s="5">
        <v>8.75</v>
      </c>
      <c r="E1323" s="5">
        <v>10.37</v>
      </c>
      <c r="F1323" s="5">
        <v>12.81</v>
      </c>
      <c r="G1323" s="5">
        <v>15.17</v>
      </c>
      <c r="H1323" s="5">
        <v>17.850000000000001</v>
      </c>
      <c r="I1323" s="5">
        <v>124.07</v>
      </c>
      <c r="J1323" s="5">
        <v>9.57</v>
      </c>
      <c r="K1323" s="5">
        <v>94.81</v>
      </c>
      <c r="L1323" s="5">
        <v>16.28</v>
      </c>
      <c r="M1323" s="5">
        <v>52.37</v>
      </c>
      <c r="N1323" s="5">
        <v>59.08</v>
      </c>
      <c r="O1323" s="5">
        <v>68.540000000000006</v>
      </c>
      <c r="P1323" s="5">
        <v>77.31</v>
      </c>
    </row>
    <row r="1324" spans="1:16" ht="15" customHeight="1" x14ac:dyDescent="0.35">
      <c r="A1324" s="1">
        <v>36</v>
      </c>
      <c r="B1324" s="5">
        <v>6.44</v>
      </c>
      <c r="C1324" s="5">
        <v>7.81</v>
      </c>
      <c r="D1324" s="5">
        <v>8.82</v>
      </c>
      <c r="E1324" s="5">
        <v>10.62</v>
      </c>
      <c r="F1324" s="5">
        <v>13.35</v>
      </c>
      <c r="G1324" s="5">
        <v>15.68</v>
      </c>
      <c r="H1324" s="5">
        <v>18.55</v>
      </c>
      <c r="I1324" s="5">
        <v>126.71</v>
      </c>
      <c r="J1324" s="5">
        <v>9.7200000000000006</v>
      </c>
      <c r="K1324" s="5">
        <v>96.83</v>
      </c>
      <c r="L1324" s="5">
        <v>16.53</v>
      </c>
      <c r="M1324" s="5">
        <v>53.27</v>
      </c>
      <c r="N1324" s="5">
        <v>60.08</v>
      </c>
      <c r="O1324" s="5">
        <v>69.709999999999994</v>
      </c>
      <c r="P1324" s="5">
        <v>78.62</v>
      </c>
    </row>
    <row r="1325" spans="1:16" ht="15" customHeight="1" x14ac:dyDescent="0.35">
      <c r="A1325" s="1">
        <v>37</v>
      </c>
      <c r="B1325" s="5">
        <v>6.54</v>
      </c>
      <c r="C1325" s="5">
        <v>7.92</v>
      </c>
      <c r="D1325" s="5">
        <v>8.91</v>
      </c>
      <c r="E1325" s="5">
        <v>10.86</v>
      </c>
      <c r="F1325" s="5">
        <v>13.41</v>
      </c>
      <c r="G1325" s="5">
        <v>16.190000000000001</v>
      </c>
      <c r="H1325" s="5">
        <v>18.73</v>
      </c>
      <c r="I1325" s="5">
        <v>129.62</v>
      </c>
      <c r="J1325" s="5">
        <v>9.74</v>
      </c>
      <c r="K1325" s="5">
        <v>99.05</v>
      </c>
      <c r="L1325" s="5">
        <v>16.79</v>
      </c>
      <c r="M1325" s="5">
        <v>54.17</v>
      </c>
      <c r="N1325" s="5">
        <v>61.03</v>
      </c>
      <c r="O1325" s="5">
        <v>70.89</v>
      </c>
      <c r="P1325" s="5">
        <v>79.86</v>
      </c>
    </row>
    <row r="1326" spans="1:16" ht="15" customHeight="1" x14ac:dyDescent="0.35">
      <c r="A1326" s="1">
        <v>38</v>
      </c>
      <c r="B1326" s="5">
        <v>6.64</v>
      </c>
      <c r="C1326" s="5">
        <v>8.0399999999999991</v>
      </c>
      <c r="D1326" s="5">
        <v>9.1999999999999993</v>
      </c>
      <c r="E1326" s="5">
        <v>11.12</v>
      </c>
      <c r="F1326" s="5">
        <v>13.71</v>
      </c>
      <c r="G1326" s="5">
        <v>16.25</v>
      </c>
      <c r="H1326" s="5">
        <v>19.079999999999998</v>
      </c>
      <c r="I1326" s="5">
        <v>132.72</v>
      </c>
      <c r="J1326" s="5">
        <v>9.85</v>
      </c>
      <c r="K1326" s="5">
        <v>101.42</v>
      </c>
      <c r="L1326" s="5">
        <v>17.04</v>
      </c>
      <c r="M1326" s="5">
        <v>55.05</v>
      </c>
      <c r="N1326" s="5">
        <v>62.03</v>
      </c>
      <c r="O1326" s="5">
        <v>72.03</v>
      </c>
      <c r="P1326" s="5">
        <v>81.17</v>
      </c>
    </row>
    <row r="1327" spans="1:16" ht="15" customHeight="1" x14ac:dyDescent="0.35">
      <c r="A1327" s="1">
        <v>39</v>
      </c>
      <c r="B1327" s="5">
        <v>6.86</v>
      </c>
      <c r="C1327" s="5">
        <v>8.35</v>
      </c>
      <c r="D1327" s="5">
        <v>9.59</v>
      </c>
      <c r="E1327" s="5">
        <v>11.46</v>
      </c>
      <c r="F1327" s="5">
        <v>14.33</v>
      </c>
      <c r="G1327" s="5">
        <v>16.89</v>
      </c>
      <c r="H1327" s="5">
        <v>19.47</v>
      </c>
      <c r="I1327" s="5">
        <v>135.58000000000001</v>
      </c>
      <c r="J1327" s="5">
        <v>9.91</v>
      </c>
      <c r="K1327" s="5">
        <v>103.61</v>
      </c>
      <c r="L1327" s="5">
        <v>17.29</v>
      </c>
      <c r="M1327" s="5">
        <v>55.99</v>
      </c>
      <c r="N1327" s="5">
        <v>62.98</v>
      </c>
      <c r="O1327" s="5">
        <v>73.27</v>
      </c>
      <c r="P1327" s="5">
        <v>82.42</v>
      </c>
    </row>
    <row r="1328" spans="1:16" ht="15" customHeight="1" x14ac:dyDescent="0.35">
      <c r="A1328" s="1">
        <v>40</v>
      </c>
      <c r="B1328" s="5">
        <v>6.87</v>
      </c>
      <c r="C1328" s="5">
        <v>8.3800000000000008</v>
      </c>
      <c r="D1328" s="5">
        <v>9.59</v>
      </c>
      <c r="E1328" s="5">
        <v>11.46</v>
      </c>
      <c r="F1328" s="5">
        <v>14.35</v>
      </c>
      <c r="G1328" s="5">
        <v>16.899999999999999</v>
      </c>
      <c r="H1328" s="5">
        <v>19.48</v>
      </c>
      <c r="I1328" s="5">
        <v>138.47999999999999</v>
      </c>
      <c r="J1328" s="5">
        <v>9.99</v>
      </c>
      <c r="K1328" s="5">
        <v>105.82</v>
      </c>
      <c r="L1328" s="5">
        <v>17.559999999999999</v>
      </c>
      <c r="M1328" s="5">
        <v>56.89</v>
      </c>
      <c r="N1328" s="5">
        <v>64.069999999999993</v>
      </c>
      <c r="O1328" s="5">
        <v>74.45</v>
      </c>
      <c r="P1328" s="5">
        <v>83.84</v>
      </c>
    </row>
    <row r="1329" spans="1:16" ht="15" customHeight="1" x14ac:dyDescent="0.35">
      <c r="A1329" s="1">
        <v>41</v>
      </c>
      <c r="B1329" s="5">
        <v>7.02</v>
      </c>
      <c r="C1329" s="5">
        <v>8.74</v>
      </c>
      <c r="D1329" s="5">
        <v>9.8699999999999992</v>
      </c>
      <c r="E1329" s="5">
        <v>11.87</v>
      </c>
      <c r="F1329" s="5">
        <v>14.95</v>
      </c>
      <c r="G1329" s="5">
        <v>17.420000000000002</v>
      </c>
      <c r="H1329" s="5">
        <v>20.21</v>
      </c>
      <c r="I1329" s="5">
        <v>140.87</v>
      </c>
      <c r="J1329" s="5">
        <v>10.11</v>
      </c>
      <c r="K1329" s="5">
        <v>107.65</v>
      </c>
      <c r="L1329" s="5">
        <v>17.79</v>
      </c>
      <c r="M1329" s="5">
        <v>57.83</v>
      </c>
      <c r="N1329" s="5">
        <v>65.19</v>
      </c>
      <c r="O1329" s="5">
        <v>75.67</v>
      </c>
      <c r="P1329" s="5">
        <v>85.3</v>
      </c>
    </row>
    <row r="1330" spans="1:16" ht="15" customHeight="1" x14ac:dyDescent="0.35">
      <c r="A1330" s="1">
        <v>42</v>
      </c>
      <c r="B1330" s="5">
        <v>7.03</v>
      </c>
      <c r="C1330" s="5">
        <v>8.77</v>
      </c>
      <c r="D1330" s="5">
        <v>10.25</v>
      </c>
      <c r="E1330" s="5">
        <v>11.91</v>
      </c>
      <c r="F1330" s="5">
        <v>15.02</v>
      </c>
      <c r="G1330" s="5">
        <v>17.71</v>
      </c>
      <c r="H1330" s="5">
        <v>20.309999999999999</v>
      </c>
      <c r="I1330" s="5">
        <v>143.53</v>
      </c>
      <c r="J1330" s="5">
        <v>10.31</v>
      </c>
      <c r="K1330" s="5">
        <v>109.68</v>
      </c>
      <c r="L1330" s="5">
        <v>18.09</v>
      </c>
      <c r="M1330" s="5">
        <v>58.71</v>
      </c>
      <c r="N1330" s="5">
        <v>66.34</v>
      </c>
      <c r="O1330" s="5">
        <v>76.83</v>
      </c>
      <c r="P1330" s="5">
        <v>86.81</v>
      </c>
    </row>
    <row r="1331" spans="1:16" ht="15" customHeight="1" x14ac:dyDescent="0.35">
      <c r="A1331" s="1">
        <v>43</v>
      </c>
      <c r="B1331" s="5">
        <v>7.16</v>
      </c>
      <c r="C1331" s="5">
        <v>8.9</v>
      </c>
      <c r="D1331" s="5">
        <v>10.27</v>
      </c>
      <c r="E1331" s="5">
        <v>12.52</v>
      </c>
      <c r="F1331" s="5">
        <v>15.83</v>
      </c>
      <c r="G1331" s="5">
        <v>18.36</v>
      </c>
      <c r="H1331" s="5">
        <v>20.87</v>
      </c>
      <c r="I1331" s="5">
        <v>146.46</v>
      </c>
      <c r="J1331" s="5">
        <v>10.42</v>
      </c>
      <c r="K1331" s="5">
        <v>111.92</v>
      </c>
      <c r="L1331" s="5">
        <v>18.3</v>
      </c>
      <c r="M1331" s="5">
        <v>59.59</v>
      </c>
      <c r="N1331" s="5">
        <v>67.52</v>
      </c>
      <c r="O1331" s="5">
        <v>77.97</v>
      </c>
      <c r="P1331" s="5">
        <v>88.35</v>
      </c>
    </row>
    <row r="1332" spans="1:16" ht="15" customHeight="1" x14ac:dyDescent="0.35">
      <c r="A1332" s="1">
        <v>44</v>
      </c>
      <c r="B1332" s="5">
        <v>7.26</v>
      </c>
      <c r="C1332" s="5">
        <v>9.0299999999999994</v>
      </c>
      <c r="D1332" s="5">
        <v>10.54</v>
      </c>
      <c r="E1332" s="5">
        <v>12.74</v>
      </c>
      <c r="F1332" s="5">
        <v>15.92</v>
      </c>
      <c r="G1332" s="5">
        <v>18.93</v>
      </c>
      <c r="H1332" s="5">
        <v>21.08</v>
      </c>
      <c r="I1332" s="5">
        <v>148.56</v>
      </c>
      <c r="J1332" s="5">
        <v>10.57</v>
      </c>
      <c r="K1332" s="5">
        <v>113.52</v>
      </c>
      <c r="L1332" s="5">
        <v>18.59</v>
      </c>
      <c r="M1332" s="5">
        <v>60.53</v>
      </c>
      <c r="N1332" s="5">
        <v>68.63</v>
      </c>
      <c r="O1332" s="5">
        <v>79.209999999999994</v>
      </c>
      <c r="P1332" s="5">
        <v>89.8</v>
      </c>
    </row>
    <row r="1333" spans="1:16" ht="15" customHeight="1" x14ac:dyDescent="0.35">
      <c r="A1333" s="1">
        <v>45</v>
      </c>
      <c r="B1333" s="5">
        <v>7.27</v>
      </c>
      <c r="C1333" s="5">
        <v>9.0399999999999991</v>
      </c>
      <c r="D1333" s="5">
        <v>10.54</v>
      </c>
      <c r="E1333" s="5">
        <v>12.74</v>
      </c>
      <c r="F1333" s="5">
        <v>15.93</v>
      </c>
      <c r="G1333" s="5">
        <v>19.3</v>
      </c>
      <c r="H1333" s="5">
        <v>21.23</v>
      </c>
      <c r="I1333" s="5">
        <v>151.41999999999999</v>
      </c>
      <c r="J1333" s="5">
        <v>10.68</v>
      </c>
      <c r="K1333" s="5">
        <v>115.71</v>
      </c>
      <c r="L1333" s="5">
        <v>18.82</v>
      </c>
      <c r="M1333" s="5">
        <v>61.43</v>
      </c>
      <c r="N1333" s="5">
        <v>69.77</v>
      </c>
      <c r="O1333" s="5">
        <v>80.38</v>
      </c>
      <c r="P1333" s="5">
        <v>91.3</v>
      </c>
    </row>
    <row r="1334" spans="1:16" ht="15" customHeight="1" x14ac:dyDescent="0.35">
      <c r="A1334" s="1">
        <v>46</v>
      </c>
      <c r="B1334" s="5">
        <v>7.46</v>
      </c>
      <c r="C1334" s="5">
        <v>9.1300000000000008</v>
      </c>
      <c r="D1334" s="5">
        <v>10.87</v>
      </c>
      <c r="E1334" s="5">
        <v>12.99</v>
      </c>
      <c r="F1334" s="5">
        <v>16.350000000000001</v>
      </c>
      <c r="G1334" s="5">
        <v>19.5</v>
      </c>
      <c r="H1334" s="5">
        <v>21.79</v>
      </c>
      <c r="I1334" s="5">
        <v>154.33000000000001</v>
      </c>
      <c r="J1334" s="5">
        <v>10.77</v>
      </c>
      <c r="K1334" s="5">
        <v>117.94</v>
      </c>
      <c r="L1334" s="5">
        <v>19.09</v>
      </c>
      <c r="M1334" s="5">
        <v>62.34</v>
      </c>
      <c r="N1334" s="5">
        <v>70.900000000000006</v>
      </c>
      <c r="O1334" s="5">
        <v>81.58</v>
      </c>
      <c r="P1334" s="5">
        <v>92.77</v>
      </c>
    </row>
    <row r="1335" spans="1:16" ht="15" customHeight="1" x14ac:dyDescent="0.35">
      <c r="A1335" s="1">
        <v>47</v>
      </c>
      <c r="B1335" s="5">
        <v>7.46</v>
      </c>
      <c r="C1335" s="5">
        <v>9.34</v>
      </c>
      <c r="D1335" s="5">
        <v>11.05</v>
      </c>
      <c r="E1335" s="5">
        <v>13.08</v>
      </c>
      <c r="F1335" s="5">
        <v>16.57</v>
      </c>
      <c r="G1335" s="5">
        <v>19.88</v>
      </c>
      <c r="H1335" s="5">
        <v>22.15</v>
      </c>
      <c r="I1335" s="5">
        <v>157.29</v>
      </c>
      <c r="J1335" s="5">
        <v>10.94</v>
      </c>
      <c r="K1335" s="5">
        <v>120.2</v>
      </c>
      <c r="L1335" s="5">
        <v>19.329999999999998</v>
      </c>
      <c r="M1335" s="5">
        <v>63.28</v>
      </c>
      <c r="N1335" s="5">
        <v>72.05</v>
      </c>
      <c r="O1335" s="5">
        <v>82.8</v>
      </c>
      <c r="P1335" s="5">
        <v>94.28</v>
      </c>
    </row>
    <row r="1336" spans="1:16" ht="15" customHeight="1" x14ac:dyDescent="0.35">
      <c r="A1336" s="1">
        <v>48</v>
      </c>
      <c r="B1336" s="5">
        <v>7.47</v>
      </c>
      <c r="C1336" s="5">
        <v>9.34</v>
      </c>
      <c r="D1336" s="5">
        <v>11.18</v>
      </c>
      <c r="E1336" s="5">
        <v>13.55</v>
      </c>
      <c r="F1336" s="5">
        <v>16.82</v>
      </c>
      <c r="G1336" s="5">
        <v>20.07</v>
      </c>
      <c r="H1336" s="5">
        <v>22.5</v>
      </c>
      <c r="I1336" s="5">
        <v>159.99</v>
      </c>
      <c r="J1336" s="5">
        <v>11.1</v>
      </c>
      <c r="K1336" s="5">
        <v>122.26</v>
      </c>
      <c r="L1336" s="5">
        <v>19.66</v>
      </c>
      <c r="M1336" s="5">
        <v>64.150000000000006</v>
      </c>
      <c r="N1336" s="5">
        <v>73.2</v>
      </c>
      <c r="O1336" s="5">
        <v>83.95</v>
      </c>
      <c r="P1336" s="5">
        <v>95.79</v>
      </c>
    </row>
    <row r="1337" spans="1:16" ht="15" customHeight="1" x14ac:dyDescent="0.35">
      <c r="A1337" s="1">
        <v>49</v>
      </c>
      <c r="B1337" s="5">
        <v>7.47</v>
      </c>
      <c r="C1337" s="5">
        <v>9.34</v>
      </c>
      <c r="D1337" s="5">
        <v>11.18</v>
      </c>
      <c r="E1337" s="5">
        <v>13.55</v>
      </c>
      <c r="F1337" s="5">
        <v>16.95</v>
      </c>
      <c r="G1337" s="5">
        <v>20.47</v>
      </c>
      <c r="H1337" s="5">
        <v>22.63</v>
      </c>
      <c r="I1337" s="5">
        <v>162.72</v>
      </c>
      <c r="J1337" s="5">
        <v>11.3</v>
      </c>
      <c r="K1337" s="5">
        <v>124.35</v>
      </c>
      <c r="L1337" s="5">
        <v>19.97</v>
      </c>
      <c r="M1337" s="5">
        <v>65.06</v>
      </c>
      <c r="N1337" s="5">
        <v>74.23</v>
      </c>
      <c r="O1337" s="5">
        <v>85.14</v>
      </c>
      <c r="P1337" s="5">
        <v>97.13</v>
      </c>
    </row>
    <row r="1338" spans="1:16" ht="15" customHeight="1" x14ac:dyDescent="0.35">
      <c r="A1338" s="1">
        <v>50</v>
      </c>
      <c r="B1338" s="5">
        <v>7.47</v>
      </c>
      <c r="C1338" s="5">
        <v>9.34</v>
      </c>
      <c r="D1338" s="5">
        <v>11.18</v>
      </c>
      <c r="E1338" s="5">
        <v>13.56</v>
      </c>
      <c r="F1338" s="5">
        <v>17.09</v>
      </c>
      <c r="G1338" s="5">
        <v>20.65</v>
      </c>
      <c r="H1338" s="5">
        <v>22.95</v>
      </c>
      <c r="I1338" s="5">
        <v>165.45</v>
      </c>
      <c r="J1338" s="5">
        <v>11.63</v>
      </c>
      <c r="K1338" s="5">
        <v>126.44</v>
      </c>
      <c r="L1338" s="5">
        <v>20.29</v>
      </c>
      <c r="M1338" s="5">
        <v>65.989999999999995</v>
      </c>
      <c r="N1338" s="5">
        <v>75.209999999999994</v>
      </c>
      <c r="O1338" s="5">
        <v>86.35</v>
      </c>
      <c r="P1338" s="5">
        <v>98.42</v>
      </c>
    </row>
    <row r="1339" spans="1:16" ht="15" customHeight="1" x14ac:dyDescent="0.35">
      <c r="A1339" s="1">
        <v>51</v>
      </c>
      <c r="B1339" s="5">
        <v>7.47</v>
      </c>
      <c r="C1339" s="5">
        <v>9.35</v>
      </c>
      <c r="D1339" s="5">
        <v>11.24</v>
      </c>
      <c r="E1339" s="5">
        <v>13.63</v>
      </c>
      <c r="F1339" s="5">
        <v>17.3</v>
      </c>
      <c r="G1339" s="5">
        <v>20.9</v>
      </c>
      <c r="H1339" s="5">
        <v>23.48</v>
      </c>
      <c r="I1339" s="5">
        <v>169.77</v>
      </c>
      <c r="J1339" s="5">
        <v>11.79</v>
      </c>
      <c r="K1339" s="5">
        <v>129.74</v>
      </c>
      <c r="L1339" s="5">
        <v>20.64</v>
      </c>
      <c r="M1339" s="5">
        <v>67.12</v>
      </c>
      <c r="N1339" s="5">
        <v>76.540000000000006</v>
      </c>
      <c r="O1339" s="5">
        <v>87.83</v>
      </c>
      <c r="P1339" s="5">
        <v>100.16</v>
      </c>
    </row>
    <row r="1340" spans="1:16" ht="15" customHeight="1" x14ac:dyDescent="0.35">
      <c r="A1340" s="1">
        <v>52</v>
      </c>
      <c r="B1340" s="5">
        <v>7.48</v>
      </c>
      <c r="C1340" s="5">
        <v>9.35</v>
      </c>
      <c r="D1340" s="5">
        <v>11.24</v>
      </c>
      <c r="E1340" s="5">
        <v>13.64</v>
      </c>
      <c r="F1340" s="5">
        <v>17.309999999999999</v>
      </c>
      <c r="G1340" s="5">
        <v>20.91</v>
      </c>
      <c r="H1340" s="5">
        <v>23.48</v>
      </c>
      <c r="I1340" s="5">
        <v>170.12</v>
      </c>
      <c r="J1340" s="5">
        <v>12.06</v>
      </c>
      <c r="K1340" s="5">
        <v>130</v>
      </c>
      <c r="L1340" s="5">
        <v>21.02</v>
      </c>
      <c r="M1340" s="5">
        <v>67.87</v>
      </c>
      <c r="N1340" s="5">
        <v>77.510000000000005</v>
      </c>
      <c r="O1340" s="5">
        <v>88.81</v>
      </c>
      <c r="P1340" s="5">
        <v>101.42</v>
      </c>
    </row>
    <row r="1341" spans="1:16" ht="15" customHeight="1" x14ac:dyDescent="0.35">
      <c r="A1341" s="1">
        <v>53</v>
      </c>
      <c r="B1341" s="5">
        <v>7.48</v>
      </c>
      <c r="C1341" s="5">
        <v>9.35</v>
      </c>
      <c r="D1341" s="5">
        <v>11.25</v>
      </c>
      <c r="E1341" s="5">
        <v>13.77</v>
      </c>
      <c r="F1341" s="5">
        <v>17.309999999999999</v>
      </c>
      <c r="G1341" s="5">
        <v>20.91</v>
      </c>
      <c r="H1341" s="5">
        <v>23.71</v>
      </c>
      <c r="I1341" s="5">
        <v>172.69</v>
      </c>
      <c r="J1341" s="5">
        <v>12.18</v>
      </c>
      <c r="K1341" s="5">
        <v>131.97</v>
      </c>
      <c r="L1341" s="5">
        <v>21.49</v>
      </c>
      <c r="M1341" s="5">
        <v>68.63</v>
      </c>
      <c r="N1341" s="5">
        <v>78.510000000000005</v>
      </c>
      <c r="O1341" s="5">
        <v>89.81</v>
      </c>
      <c r="P1341" s="5">
        <v>102.74</v>
      </c>
    </row>
    <row r="1342" spans="1:16" ht="15" customHeight="1" x14ac:dyDescent="0.35">
      <c r="A1342" s="1">
        <v>54</v>
      </c>
      <c r="B1342" s="5">
        <v>7.48</v>
      </c>
      <c r="C1342" s="5">
        <v>9.36</v>
      </c>
      <c r="D1342" s="5">
        <v>11.26</v>
      </c>
      <c r="E1342" s="5">
        <v>13.8</v>
      </c>
      <c r="F1342" s="5">
        <v>17.32</v>
      </c>
      <c r="G1342" s="5">
        <v>20.91</v>
      </c>
      <c r="H1342" s="5">
        <v>23.71</v>
      </c>
      <c r="I1342" s="5">
        <v>175.14</v>
      </c>
      <c r="J1342" s="5">
        <v>12.42</v>
      </c>
      <c r="K1342" s="5">
        <v>133.84</v>
      </c>
      <c r="L1342" s="5">
        <v>21.66</v>
      </c>
      <c r="M1342" s="5">
        <v>69.349999999999994</v>
      </c>
      <c r="N1342" s="5">
        <v>79.47</v>
      </c>
      <c r="O1342" s="5">
        <v>90.75</v>
      </c>
      <c r="P1342" s="5">
        <v>104</v>
      </c>
    </row>
    <row r="1343" spans="1:16" ht="15" customHeight="1" x14ac:dyDescent="0.35">
      <c r="A1343" s="1">
        <v>55</v>
      </c>
      <c r="B1343" s="5">
        <v>7.48</v>
      </c>
      <c r="C1343" s="5">
        <v>9.36</v>
      </c>
      <c r="D1343" s="5">
        <v>11.27</v>
      </c>
      <c r="E1343" s="5">
        <v>13.8</v>
      </c>
      <c r="F1343" s="5">
        <v>17.32</v>
      </c>
      <c r="G1343" s="5">
        <v>20.92</v>
      </c>
      <c r="H1343" s="5">
        <v>23.71</v>
      </c>
      <c r="I1343" s="5">
        <v>177.49</v>
      </c>
      <c r="J1343" s="5">
        <v>12.65</v>
      </c>
      <c r="K1343" s="5">
        <v>135.63999999999999</v>
      </c>
      <c r="L1343" s="5">
        <v>21.97</v>
      </c>
      <c r="M1343" s="5">
        <v>70.12</v>
      </c>
      <c r="N1343" s="5">
        <v>80.5</v>
      </c>
      <c r="O1343" s="5">
        <v>91.76</v>
      </c>
      <c r="P1343" s="5">
        <v>105.34</v>
      </c>
    </row>
    <row r="1344" spans="1:16" ht="15" customHeight="1" x14ac:dyDescent="0.35">
      <c r="A1344" s="1">
        <v>56</v>
      </c>
      <c r="B1344" s="5">
        <v>7.49</v>
      </c>
      <c r="C1344" s="5">
        <v>9.36</v>
      </c>
      <c r="D1344" s="5">
        <v>11.27</v>
      </c>
      <c r="E1344" s="5">
        <v>13.8</v>
      </c>
      <c r="F1344" s="5">
        <v>17.32</v>
      </c>
      <c r="G1344" s="5">
        <v>20.92</v>
      </c>
      <c r="H1344" s="5">
        <v>24.01</v>
      </c>
      <c r="I1344" s="5">
        <v>179.89</v>
      </c>
      <c r="J1344" s="5">
        <v>13.01</v>
      </c>
      <c r="K1344" s="5">
        <v>137.47</v>
      </c>
      <c r="L1344" s="5">
        <v>22.29</v>
      </c>
      <c r="M1344" s="5">
        <v>70.790000000000006</v>
      </c>
      <c r="N1344" s="5">
        <v>81.38</v>
      </c>
      <c r="O1344" s="5">
        <v>92.63</v>
      </c>
      <c r="P1344" s="5">
        <v>106.49</v>
      </c>
    </row>
    <row r="1345" spans="1:16" ht="15" customHeight="1" x14ac:dyDescent="0.35">
      <c r="A1345" s="1">
        <v>57</v>
      </c>
      <c r="B1345" s="5">
        <v>7.62</v>
      </c>
      <c r="C1345" s="5">
        <v>9.41</v>
      </c>
      <c r="D1345" s="5">
        <v>11.27</v>
      </c>
      <c r="E1345" s="5">
        <v>14.22</v>
      </c>
      <c r="F1345" s="5">
        <v>17.329999999999998</v>
      </c>
      <c r="G1345" s="5">
        <v>20.93</v>
      </c>
      <c r="H1345" s="5">
        <v>24.25</v>
      </c>
      <c r="I1345" s="5">
        <v>182.37</v>
      </c>
      <c r="J1345" s="5">
        <v>13.08</v>
      </c>
      <c r="K1345" s="5">
        <v>139.36000000000001</v>
      </c>
      <c r="L1345" s="5">
        <v>22.59</v>
      </c>
      <c r="M1345" s="5">
        <v>71.42</v>
      </c>
      <c r="N1345" s="5">
        <v>82.18</v>
      </c>
      <c r="O1345" s="5">
        <v>93.46</v>
      </c>
      <c r="P1345" s="5">
        <v>107.54</v>
      </c>
    </row>
    <row r="1346" spans="1:16" ht="15" customHeight="1" x14ac:dyDescent="0.35">
      <c r="A1346" s="1">
        <v>58</v>
      </c>
      <c r="B1346" s="5">
        <v>7.63</v>
      </c>
      <c r="C1346" s="5">
        <v>9.41</v>
      </c>
      <c r="D1346" s="5">
        <v>11.28</v>
      </c>
      <c r="E1346" s="5">
        <v>14.22</v>
      </c>
      <c r="F1346" s="5">
        <v>17.329999999999998</v>
      </c>
      <c r="G1346" s="5">
        <v>20.93</v>
      </c>
      <c r="H1346" s="5">
        <v>24.47</v>
      </c>
      <c r="I1346" s="5">
        <v>184.75</v>
      </c>
      <c r="J1346" s="5">
        <v>13.32</v>
      </c>
      <c r="K1346" s="5">
        <v>141.18</v>
      </c>
      <c r="L1346" s="5">
        <v>22.92</v>
      </c>
      <c r="M1346" s="5">
        <v>72.069999999999993</v>
      </c>
      <c r="N1346" s="5">
        <v>83.02</v>
      </c>
      <c r="O1346" s="5">
        <v>94.31</v>
      </c>
      <c r="P1346" s="5">
        <v>108.63</v>
      </c>
    </row>
    <row r="1347" spans="1:16" ht="15" customHeight="1" x14ac:dyDescent="0.35">
      <c r="A1347" s="1">
        <v>59</v>
      </c>
      <c r="B1347" s="5">
        <v>7.63</v>
      </c>
      <c r="C1347" s="5">
        <v>9.42</v>
      </c>
      <c r="D1347" s="5">
        <v>11.36</v>
      </c>
      <c r="E1347" s="5">
        <v>14.23</v>
      </c>
      <c r="F1347" s="5">
        <v>17.45</v>
      </c>
      <c r="G1347" s="5">
        <v>20.93</v>
      </c>
      <c r="H1347" s="5">
        <v>24.88</v>
      </c>
      <c r="I1347" s="5">
        <v>187.56</v>
      </c>
      <c r="J1347" s="5">
        <v>13.57</v>
      </c>
      <c r="K1347" s="5">
        <v>143.33000000000001</v>
      </c>
      <c r="L1347" s="5">
        <v>23.22</v>
      </c>
      <c r="M1347" s="5">
        <v>72.760000000000005</v>
      </c>
      <c r="N1347" s="5">
        <v>83.82</v>
      </c>
      <c r="O1347" s="5">
        <v>95.22</v>
      </c>
      <c r="P1347" s="5">
        <v>109.69</v>
      </c>
    </row>
    <row r="1348" spans="1:16" ht="15" customHeight="1" x14ac:dyDescent="0.35">
      <c r="A1348" s="1">
        <v>60</v>
      </c>
      <c r="B1348" s="5">
        <v>7.84</v>
      </c>
      <c r="C1348" s="5">
        <v>9.7899999999999991</v>
      </c>
      <c r="D1348" s="5">
        <v>11.55</v>
      </c>
      <c r="E1348" s="5">
        <v>14.73</v>
      </c>
      <c r="F1348" s="5">
        <v>17.78</v>
      </c>
      <c r="G1348" s="5">
        <v>21.01</v>
      </c>
      <c r="H1348" s="5">
        <v>25.03</v>
      </c>
      <c r="I1348" s="5">
        <v>190.48</v>
      </c>
      <c r="J1348" s="5">
        <v>13.86</v>
      </c>
      <c r="K1348" s="5">
        <v>145.56</v>
      </c>
      <c r="L1348" s="5">
        <v>23.54</v>
      </c>
      <c r="M1348" s="5">
        <v>73.400000000000006</v>
      </c>
      <c r="N1348" s="5">
        <v>84.65</v>
      </c>
      <c r="O1348" s="5">
        <v>96.05</v>
      </c>
      <c r="P1348" s="5">
        <v>110.77</v>
      </c>
    </row>
    <row r="1349" spans="1:16" ht="15" customHeight="1" x14ac:dyDescent="0.35">
      <c r="A1349" s="1">
        <v>61</v>
      </c>
      <c r="B1349" s="5">
        <v>7.85</v>
      </c>
      <c r="C1349" s="5">
        <v>9.81</v>
      </c>
      <c r="D1349" s="5">
        <v>11.66</v>
      </c>
      <c r="E1349" s="5">
        <v>14.77</v>
      </c>
      <c r="F1349" s="5">
        <v>17.78</v>
      </c>
      <c r="G1349" s="5">
        <v>21.01</v>
      </c>
      <c r="H1349" s="5">
        <v>25.03</v>
      </c>
      <c r="I1349" s="5">
        <v>192.83</v>
      </c>
      <c r="J1349" s="5">
        <v>14.09</v>
      </c>
      <c r="K1349" s="5">
        <v>147.36000000000001</v>
      </c>
      <c r="L1349" s="5">
        <v>23.84</v>
      </c>
      <c r="M1349" s="5">
        <v>74.09</v>
      </c>
      <c r="N1349" s="5">
        <v>85.4</v>
      </c>
      <c r="O1349" s="5">
        <v>96.95</v>
      </c>
      <c r="P1349" s="5">
        <v>111.75</v>
      </c>
    </row>
    <row r="1350" spans="1:16" ht="15" customHeight="1" x14ac:dyDescent="0.35">
      <c r="A1350" s="1">
        <v>62</v>
      </c>
      <c r="B1350" s="5">
        <v>8.17</v>
      </c>
      <c r="C1350" s="5">
        <v>10.51</v>
      </c>
      <c r="D1350" s="5">
        <v>11.85</v>
      </c>
      <c r="E1350" s="5">
        <v>15.18</v>
      </c>
      <c r="F1350" s="5">
        <v>18.05</v>
      </c>
      <c r="G1350" s="5">
        <v>21.33</v>
      </c>
      <c r="H1350" s="5">
        <v>25.33</v>
      </c>
      <c r="I1350" s="5">
        <v>196</v>
      </c>
      <c r="J1350" s="5">
        <v>14.2</v>
      </c>
      <c r="K1350" s="5">
        <v>149.78</v>
      </c>
      <c r="L1350" s="5">
        <v>24.15</v>
      </c>
      <c r="M1350" s="5">
        <v>74.77</v>
      </c>
      <c r="N1350" s="5">
        <v>86.11</v>
      </c>
      <c r="O1350" s="5">
        <v>97.84</v>
      </c>
      <c r="P1350" s="5">
        <v>112.68</v>
      </c>
    </row>
    <row r="1351" spans="1:16" ht="15" customHeight="1" x14ac:dyDescent="0.35">
      <c r="A1351" s="1">
        <v>63</v>
      </c>
      <c r="B1351" s="5">
        <v>8.17</v>
      </c>
      <c r="C1351" s="5">
        <v>10.52</v>
      </c>
      <c r="D1351" s="5">
        <v>11.97</v>
      </c>
      <c r="E1351" s="5">
        <v>15.19</v>
      </c>
      <c r="F1351" s="5">
        <v>18.18</v>
      </c>
      <c r="G1351" s="5">
        <v>21.51</v>
      </c>
      <c r="H1351" s="5">
        <v>25.49</v>
      </c>
      <c r="I1351" s="5">
        <v>199.21</v>
      </c>
      <c r="J1351" s="5">
        <v>14.37</v>
      </c>
      <c r="K1351" s="5">
        <v>152.24</v>
      </c>
      <c r="L1351" s="5">
        <v>24.47</v>
      </c>
      <c r="M1351" s="5">
        <v>75.430000000000007</v>
      </c>
      <c r="N1351" s="5">
        <v>86.87</v>
      </c>
      <c r="O1351" s="5">
        <v>98.71</v>
      </c>
      <c r="P1351" s="5">
        <v>113.68</v>
      </c>
    </row>
    <row r="1352" spans="1:16" ht="15" customHeight="1" x14ac:dyDescent="0.35">
      <c r="A1352" s="1">
        <v>64</v>
      </c>
      <c r="B1352" s="5">
        <v>8.39</v>
      </c>
      <c r="C1352" s="5">
        <v>10.52</v>
      </c>
      <c r="D1352" s="5">
        <v>12.16</v>
      </c>
      <c r="E1352" s="5">
        <v>15.19</v>
      </c>
      <c r="F1352" s="5">
        <v>18.309999999999999</v>
      </c>
      <c r="G1352" s="5">
        <v>21.51</v>
      </c>
      <c r="H1352" s="5">
        <v>25.64</v>
      </c>
      <c r="I1352" s="5">
        <v>202.53</v>
      </c>
      <c r="J1352" s="5">
        <v>14.6</v>
      </c>
      <c r="K1352" s="5">
        <v>154.77000000000001</v>
      </c>
      <c r="L1352" s="5">
        <v>24.78</v>
      </c>
      <c r="M1352" s="5">
        <v>76.05</v>
      </c>
      <c r="N1352" s="5">
        <v>87.57</v>
      </c>
      <c r="O1352" s="5">
        <v>99.52</v>
      </c>
      <c r="P1352" s="5">
        <v>114.59</v>
      </c>
    </row>
    <row r="1353" spans="1:16" ht="15" customHeight="1" x14ac:dyDescent="0.35">
      <c r="A1353" s="1">
        <v>65</v>
      </c>
      <c r="B1353" s="5">
        <v>8.48</v>
      </c>
      <c r="C1353" s="5">
        <v>10.8</v>
      </c>
      <c r="D1353" s="5">
        <v>12.17</v>
      </c>
      <c r="E1353" s="5">
        <v>15.2</v>
      </c>
      <c r="F1353" s="5">
        <v>18.47</v>
      </c>
      <c r="G1353" s="5">
        <v>21.56</v>
      </c>
      <c r="H1353" s="5">
        <v>25.69</v>
      </c>
      <c r="I1353" s="5">
        <v>205.84</v>
      </c>
      <c r="J1353" s="5">
        <v>15</v>
      </c>
      <c r="K1353" s="5">
        <v>157.30000000000001</v>
      </c>
      <c r="L1353" s="5">
        <v>25.12</v>
      </c>
      <c r="M1353" s="5">
        <v>76.7</v>
      </c>
      <c r="N1353" s="5">
        <v>88.34</v>
      </c>
      <c r="O1353" s="5">
        <v>100.36</v>
      </c>
      <c r="P1353" s="5">
        <v>115.6</v>
      </c>
    </row>
    <row r="1354" spans="1:16" ht="15" customHeight="1" x14ac:dyDescent="0.35">
      <c r="A1354" s="1">
        <v>66</v>
      </c>
      <c r="B1354" s="5">
        <v>8.52</v>
      </c>
      <c r="C1354" s="5">
        <v>10.91</v>
      </c>
      <c r="D1354" s="5">
        <v>12.17</v>
      </c>
      <c r="E1354" s="5">
        <v>15.2</v>
      </c>
      <c r="F1354" s="5">
        <v>18.48</v>
      </c>
      <c r="G1354" s="5">
        <v>21.63</v>
      </c>
      <c r="H1354" s="5">
        <v>25.8</v>
      </c>
      <c r="I1354" s="5">
        <v>209.02</v>
      </c>
      <c r="J1354" s="5">
        <v>15.15</v>
      </c>
      <c r="K1354" s="5">
        <v>159.72999999999999</v>
      </c>
      <c r="L1354" s="5">
        <v>25.43</v>
      </c>
      <c r="M1354" s="5">
        <v>77.25</v>
      </c>
      <c r="N1354" s="5">
        <v>89.06</v>
      </c>
      <c r="O1354" s="5">
        <v>101.08</v>
      </c>
      <c r="P1354" s="5">
        <v>116.55</v>
      </c>
    </row>
    <row r="1355" spans="1:16" ht="15" customHeight="1" x14ac:dyDescent="0.35">
      <c r="A1355" s="1">
        <v>67</v>
      </c>
      <c r="B1355" s="5">
        <v>8.5299999999999994</v>
      </c>
      <c r="C1355" s="5">
        <v>10.91</v>
      </c>
      <c r="D1355" s="5">
        <v>12.17</v>
      </c>
      <c r="E1355" s="5">
        <v>15.23</v>
      </c>
      <c r="F1355" s="5">
        <v>18.62</v>
      </c>
      <c r="G1355" s="5">
        <v>21.73</v>
      </c>
      <c r="H1355" s="5">
        <v>26.04</v>
      </c>
      <c r="I1355" s="5">
        <v>212.2</v>
      </c>
      <c r="J1355" s="5">
        <v>15.27</v>
      </c>
      <c r="K1355" s="5">
        <v>162.16</v>
      </c>
      <c r="L1355" s="5">
        <v>25.73</v>
      </c>
      <c r="M1355" s="5">
        <v>77.849999999999994</v>
      </c>
      <c r="N1355" s="5">
        <v>89.79</v>
      </c>
      <c r="O1355" s="5">
        <v>101.87</v>
      </c>
      <c r="P1355" s="5">
        <v>117.5</v>
      </c>
    </row>
    <row r="1356" spans="1:16" ht="15" customHeight="1" x14ac:dyDescent="0.35">
      <c r="A1356" s="1">
        <v>68</v>
      </c>
      <c r="B1356" s="5">
        <v>8.6199999999999992</v>
      </c>
      <c r="C1356" s="5">
        <v>11.11</v>
      </c>
      <c r="D1356" s="5">
        <v>12.91</v>
      </c>
      <c r="E1356" s="5">
        <v>15.57</v>
      </c>
      <c r="F1356" s="5">
        <v>18.899999999999999</v>
      </c>
      <c r="G1356" s="5">
        <v>22.06</v>
      </c>
      <c r="H1356" s="5">
        <v>26.04</v>
      </c>
      <c r="I1356" s="5">
        <v>215.25</v>
      </c>
      <c r="J1356" s="5">
        <v>15.84</v>
      </c>
      <c r="K1356" s="5">
        <v>164.49</v>
      </c>
      <c r="L1356" s="5">
        <v>26.07</v>
      </c>
      <c r="M1356" s="5">
        <v>78.38</v>
      </c>
      <c r="N1356" s="5">
        <v>90.55</v>
      </c>
      <c r="O1356" s="5">
        <v>102.56</v>
      </c>
      <c r="P1356" s="5">
        <v>118.49</v>
      </c>
    </row>
    <row r="1357" spans="1:16" ht="15" customHeight="1" x14ac:dyDescent="0.35">
      <c r="A1357" s="1">
        <v>69</v>
      </c>
      <c r="B1357" s="5">
        <v>8.8000000000000007</v>
      </c>
      <c r="C1357" s="5">
        <v>11.22</v>
      </c>
      <c r="D1357" s="5">
        <v>13.04</v>
      </c>
      <c r="E1357" s="5">
        <v>15.68</v>
      </c>
      <c r="F1357" s="5">
        <v>19</v>
      </c>
      <c r="G1357" s="5">
        <v>22.07</v>
      </c>
      <c r="H1357" s="5">
        <v>26.18</v>
      </c>
      <c r="I1357" s="5">
        <v>218.38</v>
      </c>
      <c r="J1357" s="5">
        <v>15.85</v>
      </c>
      <c r="K1357" s="5">
        <v>166.88</v>
      </c>
      <c r="L1357" s="5">
        <v>26.38</v>
      </c>
      <c r="M1357" s="5">
        <v>78.98</v>
      </c>
      <c r="N1357" s="5">
        <v>91.27</v>
      </c>
      <c r="O1357" s="5">
        <v>103.36</v>
      </c>
      <c r="P1357" s="5">
        <v>119.44</v>
      </c>
    </row>
    <row r="1358" spans="1:16" ht="15" customHeight="1" x14ac:dyDescent="0.35">
      <c r="A1358" s="1">
        <v>70</v>
      </c>
      <c r="B1358" s="5">
        <v>8.84</v>
      </c>
      <c r="C1358" s="5">
        <v>11.38</v>
      </c>
      <c r="D1358" s="5">
        <v>13.32</v>
      </c>
      <c r="E1358" s="5">
        <v>16.440000000000001</v>
      </c>
      <c r="F1358" s="5">
        <v>19.38</v>
      </c>
      <c r="G1358" s="5">
        <v>22.07</v>
      </c>
      <c r="H1358" s="5">
        <v>26.4</v>
      </c>
      <c r="I1358" s="5">
        <v>222.97</v>
      </c>
      <c r="J1358" s="5">
        <v>16.21</v>
      </c>
      <c r="K1358" s="5">
        <v>170.39</v>
      </c>
      <c r="L1358" s="5">
        <v>26.69</v>
      </c>
      <c r="M1358" s="5">
        <v>79.59</v>
      </c>
      <c r="N1358" s="5">
        <v>91.99</v>
      </c>
      <c r="O1358" s="5">
        <v>104.15</v>
      </c>
      <c r="P1358" s="5">
        <v>120.38</v>
      </c>
    </row>
    <row r="1359" spans="1:16" ht="15" customHeight="1" x14ac:dyDescent="0.35">
      <c r="A1359" s="1">
        <v>71</v>
      </c>
      <c r="B1359" s="5">
        <v>8.85</v>
      </c>
      <c r="C1359" s="5">
        <v>11.38</v>
      </c>
      <c r="D1359" s="5">
        <v>13.52</v>
      </c>
      <c r="E1359" s="5">
        <v>16.440000000000001</v>
      </c>
      <c r="F1359" s="5">
        <v>19.5</v>
      </c>
      <c r="G1359" s="5">
        <v>22.43</v>
      </c>
      <c r="H1359" s="5">
        <v>26.41</v>
      </c>
      <c r="I1359" s="5">
        <v>226.4</v>
      </c>
      <c r="J1359" s="5">
        <v>16.41</v>
      </c>
      <c r="K1359" s="5">
        <v>173.01</v>
      </c>
      <c r="L1359" s="5">
        <v>26.96</v>
      </c>
      <c r="M1359" s="5">
        <v>80.13</v>
      </c>
      <c r="N1359" s="5">
        <v>92.72</v>
      </c>
      <c r="O1359" s="5">
        <v>104.86</v>
      </c>
      <c r="P1359" s="5">
        <v>121.33</v>
      </c>
    </row>
    <row r="1360" spans="1:16" ht="15" customHeight="1" x14ac:dyDescent="0.35">
      <c r="A1360" s="1">
        <v>72</v>
      </c>
      <c r="B1360" s="5">
        <v>9.1</v>
      </c>
      <c r="C1360" s="5">
        <v>11.38</v>
      </c>
      <c r="D1360" s="5">
        <v>13.81</v>
      </c>
      <c r="E1360" s="5">
        <v>16.45</v>
      </c>
      <c r="F1360" s="5">
        <v>19.829999999999998</v>
      </c>
      <c r="G1360" s="5">
        <v>23.38</v>
      </c>
      <c r="H1360" s="5">
        <v>26.45</v>
      </c>
      <c r="I1360" s="5">
        <v>229.77</v>
      </c>
      <c r="J1360" s="5">
        <v>17.5</v>
      </c>
      <c r="K1360" s="5">
        <v>175.58</v>
      </c>
      <c r="L1360" s="5">
        <v>28.18</v>
      </c>
      <c r="M1360" s="5">
        <v>80.75</v>
      </c>
      <c r="N1360" s="5">
        <v>93.45</v>
      </c>
      <c r="O1360" s="5">
        <v>105.66</v>
      </c>
      <c r="P1360" s="5">
        <v>122.29</v>
      </c>
    </row>
    <row r="1361" spans="1:16" ht="15" customHeight="1" x14ac:dyDescent="0.35">
      <c r="A1361" s="1">
        <v>73</v>
      </c>
      <c r="B1361" s="5">
        <v>9.16</v>
      </c>
      <c r="C1361" s="5">
        <v>11.49</v>
      </c>
      <c r="D1361" s="5">
        <v>13.81</v>
      </c>
      <c r="E1361" s="5">
        <v>16.690000000000001</v>
      </c>
      <c r="F1361" s="5">
        <v>20.04</v>
      </c>
      <c r="G1361" s="5">
        <v>23.43</v>
      </c>
      <c r="H1361" s="5">
        <v>26.45</v>
      </c>
      <c r="I1361" s="5">
        <v>233.13</v>
      </c>
      <c r="J1361" s="5">
        <v>17.68</v>
      </c>
      <c r="K1361" s="5">
        <v>178.16</v>
      </c>
      <c r="L1361" s="5">
        <v>29.08</v>
      </c>
      <c r="M1361" s="5">
        <v>81.3</v>
      </c>
      <c r="N1361" s="5">
        <v>94.21</v>
      </c>
      <c r="O1361" s="5">
        <v>106.39</v>
      </c>
      <c r="P1361" s="5">
        <v>123.28</v>
      </c>
    </row>
    <row r="1362" spans="1:16" ht="15" customHeight="1" x14ac:dyDescent="0.35">
      <c r="A1362" s="1">
        <v>74</v>
      </c>
      <c r="B1362" s="5">
        <v>9.4</v>
      </c>
      <c r="C1362" s="5">
        <v>11.49</v>
      </c>
      <c r="D1362" s="5">
        <v>13.82</v>
      </c>
      <c r="E1362" s="5">
        <v>16.7</v>
      </c>
      <c r="F1362" s="5">
        <v>20.350000000000001</v>
      </c>
      <c r="G1362" s="5">
        <v>23.43</v>
      </c>
      <c r="H1362" s="5">
        <v>26.46</v>
      </c>
      <c r="I1362" s="5">
        <v>235.38</v>
      </c>
      <c r="J1362" s="5">
        <v>18.95</v>
      </c>
      <c r="K1362" s="5">
        <v>179.87</v>
      </c>
      <c r="L1362" s="5">
        <v>30.28</v>
      </c>
      <c r="M1362" s="5">
        <v>81.97</v>
      </c>
      <c r="N1362" s="5">
        <v>94.93</v>
      </c>
      <c r="O1362" s="5">
        <v>107.26</v>
      </c>
      <c r="P1362" s="5">
        <v>124.22</v>
      </c>
    </row>
    <row r="1363" spans="1:16" ht="15" customHeight="1" x14ac:dyDescent="0.35">
      <c r="A1363" s="1">
        <v>75</v>
      </c>
      <c r="B1363" s="5">
        <v>9.75</v>
      </c>
      <c r="C1363" s="5">
        <v>11.5</v>
      </c>
      <c r="D1363" s="5">
        <v>13.82</v>
      </c>
      <c r="E1363" s="5">
        <v>16.829999999999998</v>
      </c>
      <c r="F1363" s="5">
        <v>20.350000000000001</v>
      </c>
      <c r="G1363" s="5">
        <v>23.67</v>
      </c>
      <c r="H1363" s="5">
        <v>26.46</v>
      </c>
      <c r="I1363" s="5">
        <v>238.04</v>
      </c>
      <c r="J1363" s="5">
        <v>20</v>
      </c>
      <c r="K1363" s="5">
        <v>181.91</v>
      </c>
      <c r="L1363" s="5">
        <v>30.65</v>
      </c>
      <c r="M1363" s="5">
        <v>82.71</v>
      </c>
      <c r="N1363" s="5">
        <v>95.7</v>
      </c>
      <c r="O1363" s="5">
        <v>108.24</v>
      </c>
      <c r="P1363" s="5">
        <v>125.23</v>
      </c>
    </row>
    <row r="1364" spans="1:16" ht="15" customHeight="1" x14ac:dyDescent="0.35">
      <c r="A1364" s="1">
        <v>76</v>
      </c>
      <c r="B1364" s="5">
        <v>10.5</v>
      </c>
      <c r="C1364" s="5">
        <v>12.14</v>
      </c>
      <c r="D1364" s="5">
        <v>13.91</v>
      </c>
      <c r="E1364" s="5">
        <v>17.079999999999998</v>
      </c>
      <c r="F1364" s="5">
        <v>20.8</v>
      </c>
      <c r="G1364" s="5">
        <v>24.05</v>
      </c>
      <c r="H1364" s="5">
        <v>26.71</v>
      </c>
      <c r="I1364" s="5">
        <v>240.98</v>
      </c>
      <c r="J1364" s="5">
        <v>20.73</v>
      </c>
      <c r="K1364" s="5">
        <v>184.15</v>
      </c>
      <c r="L1364" s="5">
        <v>31.56</v>
      </c>
      <c r="M1364" s="5">
        <v>83.47</v>
      </c>
      <c r="N1364" s="5">
        <v>96.41</v>
      </c>
      <c r="O1364" s="5">
        <v>109.23</v>
      </c>
      <c r="P1364" s="5">
        <v>126.16</v>
      </c>
    </row>
    <row r="1365" spans="1:16" ht="15" customHeight="1" x14ac:dyDescent="0.35">
      <c r="A1365" s="1">
        <v>77</v>
      </c>
      <c r="B1365" s="5">
        <v>10.91</v>
      </c>
      <c r="C1365" s="5">
        <v>12.32</v>
      </c>
      <c r="D1365" s="5">
        <v>14.07</v>
      </c>
      <c r="E1365" s="5">
        <v>17.16</v>
      </c>
      <c r="F1365" s="5">
        <v>20.92</v>
      </c>
      <c r="G1365" s="5">
        <v>24.73</v>
      </c>
      <c r="H1365" s="5">
        <v>26.71</v>
      </c>
      <c r="I1365" s="5">
        <v>242.96</v>
      </c>
      <c r="J1365" s="5">
        <v>21.58</v>
      </c>
      <c r="K1365" s="5">
        <v>185.67</v>
      </c>
      <c r="L1365" s="5">
        <v>32.75</v>
      </c>
      <c r="M1365" s="5">
        <v>84.2</v>
      </c>
      <c r="N1365" s="5">
        <v>97.18</v>
      </c>
      <c r="O1365" s="5">
        <v>110.18</v>
      </c>
      <c r="P1365" s="5">
        <v>127.17</v>
      </c>
    </row>
    <row r="1366" spans="1:16" ht="15" customHeight="1" x14ac:dyDescent="0.35">
      <c r="A1366" s="1">
        <v>78</v>
      </c>
      <c r="B1366" s="5">
        <v>10.92</v>
      </c>
      <c r="C1366" s="5">
        <v>12.78</v>
      </c>
      <c r="D1366" s="5">
        <v>14.48</v>
      </c>
      <c r="E1366" s="5">
        <v>17.34</v>
      </c>
      <c r="F1366" s="5">
        <v>21.05</v>
      </c>
      <c r="G1366" s="5">
        <v>24.92</v>
      </c>
      <c r="H1366" s="5">
        <v>26.72</v>
      </c>
      <c r="I1366" s="5">
        <v>244.27</v>
      </c>
      <c r="J1366" s="5">
        <v>22.47</v>
      </c>
      <c r="K1366" s="5">
        <v>186.67</v>
      </c>
      <c r="L1366" s="5">
        <v>33.69</v>
      </c>
      <c r="M1366" s="5">
        <v>85.04</v>
      </c>
      <c r="N1366" s="5">
        <v>97.88</v>
      </c>
      <c r="O1366" s="5">
        <v>111.29</v>
      </c>
      <c r="P1366" s="5">
        <v>128.08000000000001</v>
      </c>
    </row>
    <row r="1367" spans="1:16" ht="15" customHeight="1" x14ac:dyDescent="0.35">
      <c r="A1367" s="1">
        <v>79</v>
      </c>
      <c r="B1367" s="5">
        <v>11.42</v>
      </c>
      <c r="C1367" s="5">
        <v>13.31</v>
      </c>
      <c r="D1367" s="5">
        <v>14.84</v>
      </c>
      <c r="E1367" s="5">
        <v>17.62</v>
      </c>
      <c r="F1367" s="5">
        <v>21.49</v>
      </c>
      <c r="G1367" s="5">
        <v>25.3</v>
      </c>
      <c r="H1367" s="5">
        <v>27.15</v>
      </c>
      <c r="I1367" s="5">
        <v>244.31</v>
      </c>
      <c r="J1367" s="5">
        <v>23.37</v>
      </c>
      <c r="K1367" s="5">
        <v>186.7</v>
      </c>
      <c r="L1367" s="5">
        <v>34.6</v>
      </c>
      <c r="M1367" s="5">
        <v>85.89</v>
      </c>
      <c r="N1367" s="5">
        <v>98.66</v>
      </c>
      <c r="O1367" s="5">
        <v>112.39</v>
      </c>
      <c r="P1367" s="5">
        <v>129.1</v>
      </c>
    </row>
    <row r="1368" spans="1:16" ht="15" customHeight="1" x14ac:dyDescent="0.35">
      <c r="A1368" s="1">
        <v>80</v>
      </c>
      <c r="B1368" s="5">
        <v>11.73</v>
      </c>
      <c r="C1368" s="5">
        <v>13.57</v>
      </c>
      <c r="D1368" s="5">
        <v>14.91</v>
      </c>
      <c r="E1368" s="5">
        <v>18.04</v>
      </c>
      <c r="F1368" s="5">
        <v>21.85</v>
      </c>
      <c r="G1368" s="5">
        <v>25.65</v>
      </c>
      <c r="H1368" s="5">
        <v>27.36</v>
      </c>
      <c r="I1368" s="5">
        <v>246.86</v>
      </c>
      <c r="J1368" s="5">
        <v>24.47</v>
      </c>
      <c r="K1368" s="5">
        <v>188.65</v>
      </c>
      <c r="L1368" s="5">
        <v>35.21</v>
      </c>
      <c r="M1368" s="5">
        <v>86.7</v>
      </c>
      <c r="N1368" s="5">
        <v>99.35</v>
      </c>
      <c r="O1368" s="5">
        <v>113.46</v>
      </c>
      <c r="P1368" s="5">
        <v>130.01</v>
      </c>
    </row>
    <row r="1369" spans="1:16" ht="15" customHeight="1" x14ac:dyDescent="0.35">
      <c r="A1369" s="1">
        <v>81</v>
      </c>
      <c r="B1369" s="5">
        <v>12.01</v>
      </c>
      <c r="C1369" s="5">
        <v>13.68</v>
      </c>
      <c r="D1369" s="5">
        <v>15.27</v>
      </c>
      <c r="E1369" s="5">
        <v>18.16</v>
      </c>
      <c r="F1369" s="5">
        <v>22.13</v>
      </c>
      <c r="G1369" s="5">
        <v>25.81</v>
      </c>
      <c r="H1369" s="5">
        <v>27.45</v>
      </c>
      <c r="I1369" s="5">
        <v>248.93</v>
      </c>
      <c r="J1369" s="5">
        <v>24.89</v>
      </c>
      <c r="K1369" s="5">
        <v>190.23</v>
      </c>
      <c r="L1369" s="5">
        <v>37.130000000000003</v>
      </c>
      <c r="M1369" s="5">
        <v>87.52</v>
      </c>
      <c r="N1369" s="5">
        <v>100.12</v>
      </c>
      <c r="O1369" s="5">
        <v>114.53</v>
      </c>
      <c r="P1369" s="5">
        <v>131.01</v>
      </c>
    </row>
    <row r="1370" spans="1:16" ht="15" customHeight="1" x14ac:dyDescent="0.35">
      <c r="A1370" s="1">
        <v>82</v>
      </c>
      <c r="B1370" s="5">
        <v>12.4</v>
      </c>
      <c r="C1370" s="5">
        <v>14.01</v>
      </c>
      <c r="D1370" s="5">
        <v>15.96</v>
      </c>
      <c r="E1370" s="5">
        <v>18.62</v>
      </c>
      <c r="F1370" s="5">
        <v>22.19</v>
      </c>
      <c r="G1370" s="5">
        <v>26.48</v>
      </c>
      <c r="H1370" s="5">
        <v>27.46</v>
      </c>
      <c r="I1370" s="5">
        <v>250.17</v>
      </c>
      <c r="J1370" s="5">
        <v>26.54</v>
      </c>
      <c r="K1370" s="5">
        <v>191.18</v>
      </c>
      <c r="L1370" s="5">
        <v>37.700000000000003</v>
      </c>
      <c r="M1370" s="5">
        <v>88.27</v>
      </c>
      <c r="N1370" s="5">
        <v>100.83</v>
      </c>
      <c r="O1370" s="5">
        <v>115.51</v>
      </c>
      <c r="P1370" s="5">
        <v>131.94999999999999</v>
      </c>
    </row>
    <row r="1371" spans="1:16" ht="15" customHeight="1" x14ac:dyDescent="0.35">
      <c r="A1371" s="1">
        <v>83</v>
      </c>
      <c r="B1371" s="5">
        <v>12.41</v>
      </c>
      <c r="C1371" s="5">
        <v>14.02</v>
      </c>
      <c r="D1371" s="5">
        <v>15.96</v>
      </c>
      <c r="E1371" s="5">
        <v>18.62</v>
      </c>
      <c r="F1371" s="5">
        <v>22.26</v>
      </c>
      <c r="G1371" s="5">
        <v>26.48</v>
      </c>
      <c r="H1371" s="5">
        <v>27.46</v>
      </c>
      <c r="I1371" s="5">
        <v>252.9</v>
      </c>
      <c r="J1371" s="5">
        <v>27.44</v>
      </c>
      <c r="K1371" s="5">
        <v>193.26</v>
      </c>
      <c r="L1371" s="5">
        <v>38.28</v>
      </c>
      <c r="M1371" s="5">
        <v>89.02</v>
      </c>
      <c r="N1371" s="5">
        <v>101.61</v>
      </c>
      <c r="O1371" s="5">
        <v>116.49</v>
      </c>
      <c r="P1371" s="5">
        <v>132.96</v>
      </c>
    </row>
    <row r="1372" spans="1:16" ht="15" customHeight="1" x14ac:dyDescent="0.35">
      <c r="A1372" s="1">
        <v>84</v>
      </c>
      <c r="B1372" s="5">
        <v>12.9</v>
      </c>
      <c r="C1372" s="5">
        <v>14.57</v>
      </c>
      <c r="D1372" s="5">
        <v>16.43</v>
      </c>
      <c r="E1372" s="5">
        <v>18.809999999999999</v>
      </c>
      <c r="F1372" s="5">
        <v>22.8</v>
      </c>
      <c r="G1372" s="5">
        <v>26.79</v>
      </c>
      <c r="H1372" s="5">
        <v>27.67</v>
      </c>
      <c r="I1372" s="5">
        <v>255.82</v>
      </c>
      <c r="J1372" s="5">
        <v>27.53</v>
      </c>
      <c r="K1372" s="5">
        <v>195.49</v>
      </c>
      <c r="L1372" s="5">
        <v>39.24</v>
      </c>
      <c r="M1372" s="5">
        <v>89.78</v>
      </c>
      <c r="N1372" s="5">
        <v>102.33</v>
      </c>
      <c r="O1372" s="5">
        <v>117.49</v>
      </c>
      <c r="P1372" s="5">
        <v>133.91</v>
      </c>
    </row>
    <row r="1373" spans="1:16" ht="15" customHeight="1" x14ac:dyDescent="0.35">
      <c r="A1373" s="1">
        <v>85</v>
      </c>
      <c r="B1373" s="5">
        <v>13.25</v>
      </c>
      <c r="C1373" s="5">
        <v>14.57</v>
      </c>
      <c r="D1373" s="5">
        <v>16.440000000000001</v>
      </c>
      <c r="E1373" s="5">
        <v>19.11</v>
      </c>
      <c r="F1373" s="5">
        <v>22.94</v>
      </c>
      <c r="G1373" s="5">
        <v>27.08</v>
      </c>
      <c r="H1373" s="5">
        <v>27.97</v>
      </c>
      <c r="I1373" s="5">
        <v>258.8</v>
      </c>
      <c r="J1373" s="5">
        <v>28.69</v>
      </c>
      <c r="K1373" s="5">
        <v>197.77</v>
      </c>
      <c r="L1373" s="5">
        <v>40.51</v>
      </c>
      <c r="M1373" s="5">
        <v>90.52</v>
      </c>
      <c r="N1373" s="5">
        <v>103.07</v>
      </c>
      <c r="O1373" s="5">
        <v>118.46</v>
      </c>
      <c r="P1373" s="5">
        <v>134.88</v>
      </c>
    </row>
    <row r="1374" spans="1:16" ht="15" customHeight="1" x14ac:dyDescent="0.35">
      <c r="A1374" s="1">
        <v>86</v>
      </c>
      <c r="B1374" s="5">
        <v>13.73</v>
      </c>
      <c r="C1374" s="5">
        <v>15.38</v>
      </c>
      <c r="D1374" s="5">
        <v>17.079999999999998</v>
      </c>
      <c r="E1374" s="5">
        <v>19.47</v>
      </c>
      <c r="F1374" s="5">
        <v>23.43</v>
      </c>
      <c r="G1374" s="5">
        <v>27.85</v>
      </c>
      <c r="H1374" s="5">
        <v>28.83</v>
      </c>
      <c r="I1374" s="5">
        <v>261.51</v>
      </c>
      <c r="J1374" s="5">
        <v>29.55</v>
      </c>
      <c r="K1374" s="5">
        <v>199.84</v>
      </c>
      <c r="L1374" s="5">
        <v>40.65</v>
      </c>
      <c r="M1374" s="5">
        <v>91.34</v>
      </c>
      <c r="N1374" s="5">
        <v>103.77</v>
      </c>
      <c r="O1374" s="5">
        <v>119.53</v>
      </c>
      <c r="P1374" s="5">
        <v>135.79</v>
      </c>
    </row>
    <row r="1375" spans="1:16" ht="15" customHeight="1" x14ac:dyDescent="0.35">
      <c r="A1375" s="1">
        <v>87</v>
      </c>
      <c r="B1375" s="5">
        <v>14.01</v>
      </c>
      <c r="C1375" s="5">
        <v>15.39</v>
      </c>
      <c r="D1375" s="5">
        <v>17.079999999999998</v>
      </c>
      <c r="E1375" s="5">
        <v>19.47</v>
      </c>
      <c r="F1375" s="5">
        <v>23.74</v>
      </c>
      <c r="G1375" s="5">
        <v>27.87</v>
      </c>
      <c r="H1375" s="5">
        <v>28.87</v>
      </c>
      <c r="I1375" s="5">
        <v>264.45999999999998</v>
      </c>
      <c r="J1375" s="5">
        <v>30.17</v>
      </c>
      <c r="K1375" s="5">
        <v>202.1</v>
      </c>
      <c r="L1375" s="5">
        <v>41.94</v>
      </c>
      <c r="M1375" s="5">
        <v>92.17</v>
      </c>
      <c r="N1375" s="5">
        <v>104.54</v>
      </c>
      <c r="O1375" s="5">
        <v>120.61</v>
      </c>
      <c r="P1375" s="5">
        <v>136.81</v>
      </c>
    </row>
    <row r="1376" spans="1:16" ht="15" customHeight="1" x14ac:dyDescent="0.35">
      <c r="A1376" s="1">
        <v>88</v>
      </c>
      <c r="B1376" s="5">
        <v>14.59</v>
      </c>
      <c r="C1376" s="5">
        <v>15.73</v>
      </c>
      <c r="D1376" s="5">
        <v>17.62</v>
      </c>
      <c r="E1376" s="5">
        <v>20.100000000000001</v>
      </c>
      <c r="F1376" s="5">
        <v>23.83</v>
      </c>
      <c r="G1376" s="5">
        <v>27.9</v>
      </c>
      <c r="H1376" s="5">
        <v>29.19</v>
      </c>
      <c r="I1376" s="5">
        <v>267.38</v>
      </c>
      <c r="J1376" s="5">
        <v>31.32</v>
      </c>
      <c r="K1376" s="5">
        <v>204.33</v>
      </c>
      <c r="L1376" s="5">
        <v>42.5</v>
      </c>
      <c r="M1376" s="5">
        <v>93</v>
      </c>
      <c r="N1376" s="5">
        <v>105.23</v>
      </c>
      <c r="O1376" s="5">
        <v>121.7</v>
      </c>
      <c r="P1376" s="5">
        <v>137.69999999999999</v>
      </c>
    </row>
    <row r="1377" spans="1:16" ht="15" customHeight="1" x14ac:dyDescent="0.35">
      <c r="A1377" s="1">
        <v>89</v>
      </c>
      <c r="B1377" s="5">
        <v>15.25</v>
      </c>
      <c r="C1377" s="5">
        <v>16.170000000000002</v>
      </c>
      <c r="D1377" s="5">
        <v>17.97</v>
      </c>
      <c r="E1377" s="5">
        <v>20.16</v>
      </c>
      <c r="F1377" s="5">
        <v>24.35</v>
      </c>
      <c r="G1377" s="5">
        <v>28.19</v>
      </c>
      <c r="H1377" s="5">
        <v>29.8</v>
      </c>
      <c r="I1377" s="5">
        <v>270.18</v>
      </c>
      <c r="J1377" s="5">
        <v>31.63</v>
      </c>
      <c r="K1377" s="5">
        <v>206.47</v>
      </c>
      <c r="L1377" s="5">
        <v>43.8</v>
      </c>
      <c r="M1377" s="5">
        <v>93.75</v>
      </c>
      <c r="N1377" s="5">
        <v>105.98</v>
      </c>
      <c r="O1377" s="5">
        <v>122.68</v>
      </c>
      <c r="P1377" s="5">
        <v>138.69</v>
      </c>
    </row>
    <row r="1378" spans="1:16" ht="15" customHeight="1" x14ac:dyDescent="0.35">
      <c r="A1378" s="1">
        <v>90</v>
      </c>
      <c r="B1378" s="5">
        <v>16.18</v>
      </c>
      <c r="C1378" s="5">
        <v>16.87</v>
      </c>
      <c r="D1378" s="5">
        <v>18.739999999999998</v>
      </c>
      <c r="E1378" s="5">
        <v>20.75</v>
      </c>
      <c r="F1378" s="5">
        <v>24.69</v>
      </c>
      <c r="G1378" s="5">
        <v>28.84</v>
      </c>
      <c r="H1378" s="5">
        <v>30.39</v>
      </c>
      <c r="I1378" s="5">
        <v>272.89999999999998</v>
      </c>
      <c r="J1378" s="5">
        <v>33.72</v>
      </c>
      <c r="K1378" s="5">
        <v>208.55</v>
      </c>
      <c r="L1378" s="5">
        <v>44.34</v>
      </c>
      <c r="M1378" s="5">
        <v>94.51</v>
      </c>
      <c r="N1378" s="5">
        <v>106.72</v>
      </c>
      <c r="O1378" s="5">
        <v>123.68</v>
      </c>
      <c r="P1378" s="5">
        <v>139.65</v>
      </c>
    </row>
    <row r="1379" spans="1:16" ht="15" customHeight="1" x14ac:dyDescent="0.35">
      <c r="A1379" s="1">
        <v>91</v>
      </c>
      <c r="B1379" s="5">
        <v>16.18</v>
      </c>
      <c r="C1379" s="5">
        <v>16.87</v>
      </c>
      <c r="D1379" s="5">
        <v>18.75</v>
      </c>
      <c r="E1379" s="5">
        <v>20.76</v>
      </c>
      <c r="F1379" s="5">
        <v>24.69</v>
      </c>
      <c r="G1379" s="5">
        <v>28.84</v>
      </c>
      <c r="H1379" s="5">
        <v>30.39</v>
      </c>
      <c r="I1379" s="5">
        <v>275.82</v>
      </c>
      <c r="J1379" s="5">
        <v>34.03</v>
      </c>
      <c r="K1379" s="5">
        <v>210.78</v>
      </c>
      <c r="L1379" s="5">
        <v>45.21</v>
      </c>
      <c r="M1379" s="5">
        <v>95.26</v>
      </c>
      <c r="N1379" s="5">
        <v>107.46</v>
      </c>
      <c r="O1379" s="5">
        <v>124.65</v>
      </c>
      <c r="P1379" s="5">
        <v>140.63</v>
      </c>
    </row>
    <row r="1380" spans="1:16" ht="15" customHeight="1" x14ac:dyDescent="0.35">
      <c r="A1380" s="1">
        <v>92</v>
      </c>
      <c r="B1380" s="5">
        <v>16.54</v>
      </c>
      <c r="C1380" s="5">
        <v>17.03</v>
      </c>
      <c r="D1380" s="5">
        <v>18.850000000000001</v>
      </c>
      <c r="E1380" s="5">
        <v>20.96</v>
      </c>
      <c r="F1380" s="5">
        <v>25</v>
      </c>
      <c r="G1380" s="5">
        <v>28.85</v>
      </c>
      <c r="H1380" s="5">
        <v>30.48</v>
      </c>
      <c r="I1380" s="5">
        <v>278.45</v>
      </c>
      <c r="J1380" s="5">
        <v>35.21</v>
      </c>
      <c r="K1380" s="5">
        <v>212.79</v>
      </c>
      <c r="L1380" s="5">
        <v>46.58</v>
      </c>
      <c r="M1380" s="5">
        <v>95.99</v>
      </c>
      <c r="N1380" s="5">
        <v>108.2</v>
      </c>
      <c r="O1380" s="5">
        <v>125.61</v>
      </c>
      <c r="P1380" s="5">
        <v>141.59</v>
      </c>
    </row>
    <row r="1381" spans="1:16" ht="15" customHeight="1" x14ac:dyDescent="0.35">
      <c r="A1381" s="1">
        <v>93</v>
      </c>
      <c r="B1381" s="5">
        <v>16.760000000000002</v>
      </c>
      <c r="C1381" s="5">
        <v>17.2</v>
      </c>
      <c r="D1381" s="5">
        <v>19.2</v>
      </c>
      <c r="E1381" s="5">
        <v>20.96</v>
      </c>
      <c r="F1381" s="5">
        <v>25</v>
      </c>
      <c r="G1381" s="5">
        <v>28.85</v>
      </c>
      <c r="H1381" s="5">
        <v>30.48</v>
      </c>
      <c r="I1381" s="5">
        <v>281.17</v>
      </c>
      <c r="J1381" s="5">
        <v>35.450000000000003</v>
      </c>
      <c r="K1381" s="5">
        <v>214.86</v>
      </c>
      <c r="L1381" s="5">
        <v>47.5</v>
      </c>
      <c r="M1381" s="5">
        <v>96.76</v>
      </c>
      <c r="N1381" s="5">
        <v>108.93</v>
      </c>
      <c r="O1381" s="5">
        <v>126.62</v>
      </c>
      <c r="P1381" s="5">
        <v>142.55000000000001</v>
      </c>
    </row>
    <row r="1382" spans="1:16" ht="15" customHeight="1" x14ac:dyDescent="0.35">
      <c r="A1382" s="1">
        <v>94</v>
      </c>
      <c r="B1382" s="5">
        <v>16.84</v>
      </c>
      <c r="C1382" s="5">
        <v>17.649999999999999</v>
      </c>
      <c r="D1382" s="5">
        <v>19.3</v>
      </c>
      <c r="E1382" s="5">
        <v>21.23</v>
      </c>
      <c r="F1382" s="5">
        <v>25.53</v>
      </c>
      <c r="G1382" s="5">
        <v>28.85</v>
      </c>
      <c r="H1382" s="5">
        <v>31.09</v>
      </c>
      <c r="I1382" s="5">
        <v>283.82</v>
      </c>
      <c r="J1382" s="5">
        <v>36.659999999999997</v>
      </c>
      <c r="K1382" s="5">
        <v>216.89</v>
      </c>
      <c r="L1382" s="5">
        <v>48.88</v>
      </c>
      <c r="M1382" s="5">
        <v>97.5</v>
      </c>
      <c r="N1382" s="5">
        <v>109.68</v>
      </c>
      <c r="O1382" s="5">
        <v>127.58</v>
      </c>
      <c r="P1382" s="5">
        <v>143.52000000000001</v>
      </c>
    </row>
    <row r="1383" spans="1:16" ht="15" customHeight="1" x14ac:dyDescent="0.35">
      <c r="A1383" s="1">
        <v>95</v>
      </c>
      <c r="B1383" s="5">
        <v>17.07</v>
      </c>
      <c r="C1383" s="5">
        <v>17.809999999999999</v>
      </c>
      <c r="D1383" s="5">
        <v>19.43</v>
      </c>
      <c r="E1383" s="5">
        <v>21.52</v>
      </c>
      <c r="F1383" s="5">
        <v>25.6</v>
      </c>
      <c r="G1383" s="5">
        <v>28.95</v>
      </c>
      <c r="H1383" s="5">
        <v>31.42</v>
      </c>
      <c r="I1383" s="5">
        <v>286.58</v>
      </c>
      <c r="J1383" s="5">
        <v>37.549999999999997</v>
      </c>
      <c r="K1383" s="5">
        <v>219</v>
      </c>
      <c r="L1383" s="5">
        <v>48.91</v>
      </c>
      <c r="M1383" s="5">
        <v>98.33</v>
      </c>
      <c r="N1383" s="5">
        <v>110.38</v>
      </c>
      <c r="O1383" s="5">
        <v>128.66999999999999</v>
      </c>
      <c r="P1383" s="5">
        <v>144.44</v>
      </c>
    </row>
    <row r="1384" spans="1:16" ht="15" customHeight="1" x14ac:dyDescent="0.35">
      <c r="A1384" s="1">
        <v>96</v>
      </c>
      <c r="B1384" s="5">
        <v>17.62</v>
      </c>
      <c r="C1384" s="5">
        <v>17.93</v>
      </c>
      <c r="D1384" s="5">
        <v>20.14</v>
      </c>
      <c r="E1384" s="5">
        <v>21.76</v>
      </c>
      <c r="F1384" s="5">
        <v>25.61</v>
      </c>
      <c r="G1384" s="5">
        <v>28.96</v>
      </c>
      <c r="H1384" s="5">
        <v>31.73</v>
      </c>
      <c r="I1384" s="5">
        <v>289.2</v>
      </c>
      <c r="J1384" s="5">
        <v>38.049999999999997</v>
      </c>
      <c r="K1384" s="5">
        <v>221</v>
      </c>
      <c r="L1384" s="5">
        <v>50.75</v>
      </c>
      <c r="M1384" s="5">
        <v>99.13</v>
      </c>
      <c r="N1384" s="5">
        <v>111.12</v>
      </c>
      <c r="O1384" s="5">
        <v>129.72999999999999</v>
      </c>
      <c r="P1384" s="5">
        <v>145.41</v>
      </c>
    </row>
    <row r="1385" spans="1:16" ht="15" customHeight="1" x14ac:dyDescent="0.35">
      <c r="A1385" s="1">
        <v>97</v>
      </c>
      <c r="B1385" s="5">
        <v>18.2</v>
      </c>
      <c r="C1385" s="5">
        <v>18.63</v>
      </c>
      <c r="D1385" s="5">
        <v>20.43</v>
      </c>
      <c r="E1385" s="5">
        <v>22.11</v>
      </c>
      <c r="F1385" s="5">
        <v>26.16</v>
      </c>
      <c r="G1385" s="5">
        <v>29.37</v>
      </c>
      <c r="H1385" s="5">
        <v>32.36</v>
      </c>
      <c r="I1385" s="5">
        <v>291.95999999999998</v>
      </c>
      <c r="J1385" s="5">
        <v>39.69</v>
      </c>
      <c r="K1385" s="5">
        <v>223.11</v>
      </c>
      <c r="L1385" s="5">
        <v>51.26</v>
      </c>
      <c r="M1385" s="5">
        <v>99.99</v>
      </c>
      <c r="N1385" s="5">
        <v>111.87</v>
      </c>
      <c r="O1385" s="5">
        <v>130.84</v>
      </c>
      <c r="P1385" s="5">
        <v>146.38999999999999</v>
      </c>
    </row>
    <row r="1386" spans="1:16" ht="15" customHeight="1" x14ac:dyDescent="0.35">
      <c r="A1386" s="1">
        <v>98</v>
      </c>
      <c r="B1386" s="5">
        <v>18.440000000000001</v>
      </c>
      <c r="C1386" s="5">
        <v>18.75</v>
      </c>
      <c r="D1386" s="5">
        <v>20.43</v>
      </c>
      <c r="E1386" s="5">
        <v>22.36</v>
      </c>
      <c r="F1386" s="5">
        <v>26.45</v>
      </c>
      <c r="G1386" s="5">
        <v>29.38</v>
      </c>
      <c r="H1386" s="5">
        <v>32.36</v>
      </c>
      <c r="I1386" s="5">
        <v>294.55</v>
      </c>
      <c r="J1386" s="5">
        <v>40.57</v>
      </c>
      <c r="K1386" s="5">
        <v>225.09</v>
      </c>
      <c r="L1386" s="5">
        <v>52.03</v>
      </c>
      <c r="M1386" s="5">
        <v>100.81</v>
      </c>
      <c r="N1386" s="5">
        <v>112.63</v>
      </c>
      <c r="O1386" s="5">
        <v>131.91999999999999</v>
      </c>
      <c r="P1386" s="5">
        <v>147.38999999999999</v>
      </c>
    </row>
    <row r="1387" spans="1:16" ht="15" customHeight="1" x14ac:dyDescent="0.35">
      <c r="A1387" s="1">
        <v>99</v>
      </c>
      <c r="B1387" s="5">
        <v>18.690000000000001</v>
      </c>
      <c r="C1387" s="5">
        <v>18.86</v>
      </c>
      <c r="D1387" s="5">
        <v>20.81</v>
      </c>
      <c r="E1387" s="5">
        <v>22.65</v>
      </c>
      <c r="F1387" s="5">
        <v>26.51</v>
      </c>
      <c r="G1387" s="5">
        <v>29.67</v>
      </c>
      <c r="H1387" s="5">
        <v>32.69</v>
      </c>
      <c r="I1387" s="5">
        <v>297.31</v>
      </c>
      <c r="J1387" s="5">
        <v>41.08</v>
      </c>
      <c r="K1387" s="5">
        <v>227.2</v>
      </c>
      <c r="L1387" s="5">
        <v>53.03</v>
      </c>
      <c r="M1387" s="5">
        <v>101.54</v>
      </c>
      <c r="N1387" s="5">
        <v>113.35</v>
      </c>
      <c r="O1387" s="5">
        <v>132.88</v>
      </c>
      <c r="P1387" s="5">
        <v>148.33000000000001</v>
      </c>
    </row>
    <row r="1388" spans="1:16" ht="15" customHeight="1" x14ac:dyDescent="0.35">
      <c r="A1388" s="1">
        <v>100</v>
      </c>
      <c r="B1388" s="5">
        <v>19.010000000000002</v>
      </c>
      <c r="C1388" s="5">
        <v>19.18</v>
      </c>
      <c r="D1388" s="5">
        <v>21.01</v>
      </c>
      <c r="E1388" s="5">
        <v>22.77</v>
      </c>
      <c r="F1388" s="5">
        <v>26.8</v>
      </c>
      <c r="G1388" s="5">
        <v>29.69</v>
      </c>
      <c r="H1388" s="5">
        <v>32.71</v>
      </c>
      <c r="I1388" s="5">
        <v>300.07</v>
      </c>
      <c r="J1388" s="5">
        <v>41.99</v>
      </c>
      <c r="K1388" s="5">
        <v>229.31</v>
      </c>
      <c r="L1388" s="5">
        <v>53.94</v>
      </c>
      <c r="M1388" s="5">
        <v>102.3</v>
      </c>
      <c r="N1388" s="5">
        <v>114.08</v>
      </c>
      <c r="O1388" s="5">
        <v>133.87</v>
      </c>
      <c r="P1388" s="5">
        <v>149.28</v>
      </c>
    </row>
    <row r="1389" spans="1:16" ht="15" customHeight="1" x14ac:dyDescent="0.35">
      <c r="A1389" s="1">
        <v>101</v>
      </c>
      <c r="B1389" s="5">
        <v>19.14</v>
      </c>
      <c r="C1389" s="5">
        <v>19.36</v>
      </c>
      <c r="D1389" s="5">
        <v>21.01</v>
      </c>
      <c r="E1389" s="5">
        <v>22.99</v>
      </c>
      <c r="F1389" s="5">
        <v>27.06</v>
      </c>
      <c r="G1389" s="5">
        <v>29.97</v>
      </c>
      <c r="H1389" s="5">
        <v>33.01</v>
      </c>
      <c r="I1389" s="5">
        <v>300.07</v>
      </c>
      <c r="J1389" s="5">
        <v>42.45</v>
      </c>
      <c r="K1389" s="5">
        <v>229.31</v>
      </c>
      <c r="L1389" s="5">
        <v>55.37</v>
      </c>
      <c r="M1389" s="5">
        <v>103.07</v>
      </c>
      <c r="N1389" s="5">
        <v>114.84</v>
      </c>
      <c r="O1389" s="5">
        <v>134.88</v>
      </c>
      <c r="P1389" s="5">
        <v>150.28</v>
      </c>
    </row>
    <row r="1390" spans="1:16" ht="15" customHeight="1" x14ac:dyDescent="0.35">
      <c r="A1390" s="1">
        <v>102</v>
      </c>
      <c r="B1390" s="5">
        <v>19.32</v>
      </c>
      <c r="C1390" s="5">
        <v>19.37</v>
      </c>
      <c r="D1390" s="5">
        <v>21.21</v>
      </c>
      <c r="E1390" s="5">
        <v>22.99</v>
      </c>
      <c r="F1390" s="5">
        <v>27.06</v>
      </c>
      <c r="G1390" s="5">
        <v>29.98</v>
      </c>
      <c r="H1390" s="5">
        <v>33.020000000000003</v>
      </c>
      <c r="I1390" s="5">
        <v>300.08</v>
      </c>
      <c r="J1390" s="5">
        <v>43.74</v>
      </c>
      <c r="K1390" s="5">
        <v>229.32</v>
      </c>
      <c r="L1390" s="5">
        <v>55.91</v>
      </c>
      <c r="M1390" s="5">
        <v>103.8</v>
      </c>
      <c r="N1390" s="5">
        <v>115.55</v>
      </c>
      <c r="O1390" s="5">
        <v>135.82</v>
      </c>
      <c r="P1390" s="5">
        <v>151.21</v>
      </c>
    </row>
    <row r="1391" spans="1:16" ht="15" customHeight="1" x14ac:dyDescent="0.35">
      <c r="A1391" s="1">
        <v>103</v>
      </c>
      <c r="B1391" s="5">
        <v>19.57</v>
      </c>
      <c r="C1391" s="5">
        <v>19.850000000000001</v>
      </c>
      <c r="D1391" s="5">
        <v>21.65</v>
      </c>
      <c r="E1391" s="5">
        <v>23.12</v>
      </c>
      <c r="F1391" s="5">
        <v>27.13</v>
      </c>
      <c r="G1391" s="5">
        <v>29.98</v>
      </c>
      <c r="H1391" s="5">
        <v>33.020000000000003</v>
      </c>
      <c r="I1391" s="5">
        <v>300.08999999999997</v>
      </c>
      <c r="J1391" s="5">
        <v>44.63</v>
      </c>
      <c r="K1391" s="5">
        <v>229.32</v>
      </c>
      <c r="L1391" s="5">
        <v>57.61</v>
      </c>
      <c r="M1391" s="5">
        <v>104.63</v>
      </c>
      <c r="N1391" s="5">
        <v>116.32</v>
      </c>
      <c r="O1391" s="5">
        <v>136.91</v>
      </c>
      <c r="P1391" s="5">
        <v>152.21</v>
      </c>
    </row>
    <row r="1392" spans="1:16" ht="15" customHeight="1" x14ac:dyDescent="0.35">
      <c r="A1392" s="1">
        <v>104</v>
      </c>
      <c r="B1392" s="5">
        <v>19.579999999999998</v>
      </c>
      <c r="C1392" s="5">
        <v>19.850000000000001</v>
      </c>
      <c r="D1392" s="5">
        <v>21.71</v>
      </c>
      <c r="E1392" s="5">
        <v>23.15</v>
      </c>
      <c r="F1392" s="5">
        <v>27.13</v>
      </c>
      <c r="G1392" s="5">
        <v>29.98</v>
      </c>
      <c r="H1392" s="5">
        <v>33.020000000000003</v>
      </c>
      <c r="I1392" s="5">
        <v>300.12</v>
      </c>
      <c r="J1392" s="5">
        <v>46.38</v>
      </c>
      <c r="K1392" s="5">
        <v>229.35</v>
      </c>
      <c r="L1392" s="5">
        <v>57.62</v>
      </c>
      <c r="M1392" s="5">
        <v>105.46</v>
      </c>
      <c r="N1392" s="5">
        <v>117.04</v>
      </c>
      <c r="O1392" s="5">
        <v>138.01</v>
      </c>
      <c r="P1392" s="5">
        <v>153.16</v>
      </c>
    </row>
    <row r="1393" spans="1:16" ht="15" customHeight="1" x14ac:dyDescent="0.35">
      <c r="A1393" s="1">
        <v>105</v>
      </c>
      <c r="B1393" s="5">
        <v>20.28</v>
      </c>
      <c r="C1393" s="5">
        <v>20.440000000000001</v>
      </c>
      <c r="D1393" s="5">
        <v>22.16</v>
      </c>
      <c r="E1393" s="5">
        <v>23.85</v>
      </c>
      <c r="F1393" s="5">
        <v>27.8</v>
      </c>
      <c r="G1393" s="5">
        <v>30.68</v>
      </c>
      <c r="H1393" s="5">
        <v>33.83</v>
      </c>
      <c r="I1393" s="5">
        <v>302.79000000000002</v>
      </c>
      <c r="J1393" s="5">
        <v>46.84</v>
      </c>
      <c r="K1393" s="5">
        <v>231.39</v>
      </c>
      <c r="L1393" s="5">
        <v>58.54</v>
      </c>
      <c r="M1393" s="5">
        <v>106.28</v>
      </c>
      <c r="N1393" s="5">
        <v>117.78</v>
      </c>
      <c r="O1393" s="5">
        <v>139.08000000000001</v>
      </c>
      <c r="P1393" s="5">
        <v>154.13</v>
      </c>
    </row>
    <row r="1394" spans="1:16" ht="15" customHeight="1" x14ac:dyDescent="0.35">
      <c r="A1394" s="1">
        <v>106</v>
      </c>
      <c r="B1394" s="5">
        <v>20.420000000000002</v>
      </c>
      <c r="C1394" s="5">
        <v>20.440000000000001</v>
      </c>
      <c r="D1394" s="5">
        <v>22.17</v>
      </c>
      <c r="E1394" s="5">
        <v>23.85</v>
      </c>
      <c r="F1394" s="5">
        <v>27.8</v>
      </c>
      <c r="G1394" s="5">
        <v>30.68</v>
      </c>
      <c r="H1394" s="5">
        <v>33.840000000000003</v>
      </c>
      <c r="I1394" s="5">
        <v>305.60000000000002</v>
      </c>
      <c r="J1394" s="5">
        <v>46.84</v>
      </c>
      <c r="K1394" s="5">
        <v>233.53</v>
      </c>
      <c r="L1394" s="5">
        <v>59.48</v>
      </c>
      <c r="M1394" s="5">
        <v>107.05</v>
      </c>
      <c r="N1394" s="5">
        <v>118.52</v>
      </c>
      <c r="O1394" s="5">
        <v>140.08000000000001</v>
      </c>
      <c r="P1394" s="5">
        <v>155.09</v>
      </c>
    </row>
    <row r="1395" spans="1:16" ht="15" customHeight="1" x14ac:dyDescent="0.35">
      <c r="A1395" s="1">
        <v>107</v>
      </c>
      <c r="B1395" s="5">
        <v>20.53</v>
      </c>
      <c r="C1395" s="5">
        <v>20.72</v>
      </c>
      <c r="D1395" s="5">
        <v>22.46</v>
      </c>
      <c r="E1395" s="5">
        <v>24.11</v>
      </c>
      <c r="F1395" s="5">
        <v>27.81</v>
      </c>
      <c r="G1395" s="5">
        <v>30.91</v>
      </c>
      <c r="H1395" s="5">
        <v>34.1</v>
      </c>
      <c r="I1395" s="5">
        <v>308.42</v>
      </c>
      <c r="J1395" s="5">
        <v>48.15</v>
      </c>
      <c r="K1395" s="5">
        <v>235.69</v>
      </c>
      <c r="L1395" s="5">
        <v>60.72</v>
      </c>
      <c r="M1395" s="5">
        <v>107.78</v>
      </c>
      <c r="N1395" s="5">
        <v>119.21</v>
      </c>
      <c r="O1395" s="5">
        <v>141.04</v>
      </c>
      <c r="P1395" s="5">
        <v>156</v>
      </c>
    </row>
    <row r="1396" spans="1:16" ht="15" customHeight="1" x14ac:dyDescent="0.35">
      <c r="A1396" s="1">
        <v>108</v>
      </c>
      <c r="B1396" s="5">
        <v>20.82</v>
      </c>
      <c r="C1396" s="5">
        <v>20.95</v>
      </c>
      <c r="D1396" s="5">
        <v>22.68</v>
      </c>
      <c r="E1396" s="5">
        <v>24.11</v>
      </c>
      <c r="F1396" s="5">
        <v>28.06</v>
      </c>
      <c r="G1396" s="5">
        <v>30.91</v>
      </c>
      <c r="H1396" s="5">
        <v>34.11</v>
      </c>
      <c r="I1396" s="5">
        <v>311.23</v>
      </c>
      <c r="J1396" s="5">
        <v>48.6</v>
      </c>
      <c r="K1396" s="5">
        <v>237.84</v>
      </c>
      <c r="L1396" s="5">
        <v>62.47</v>
      </c>
      <c r="M1396" s="5">
        <v>108.53</v>
      </c>
      <c r="N1396" s="5">
        <v>119.96</v>
      </c>
      <c r="O1396" s="5">
        <v>142.02000000000001</v>
      </c>
      <c r="P1396" s="5">
        <v>156.97999999999999</v>
      </c>
    </row>
    <row r="1397" spans="1:16" ht="15" customHeight="1" x14ac:dyDescent="0.35">
      <c r="A1397" s="1">
        <v>109</v>
      </c>
      <c r="B1397" s="5">
        <v>21.45</v>
      </c>
      <c r="C1397" s="5">
        <v>21.45</v>
      </c>
      <c r="D1397" s="5">
        <v>22.96</v>
      </c>
      <c r="E1397" s="5">
        <v>24.58</v>
      </c>
      <c r="F1397" s="5">
        <v>28.3</v>
      </c>
      <c r="G1397" s="5">
        <v>31.47</v>
      </c>
      <c r="H1397" s="5">
        <v>34.729999999999997</v>
      </c>
      <c r="I1397" s="5">
        <v>313.89</v>
      </c>
      <c r="J1397" s="5">
        <v>49.49</v>
      </c>
      <c r="K1397" s="5">
        <v>239.87</v>
      </c>
      <c r="L1397" s="5">
        <v>62.48</v>
      </c>
      <c r="M1397" s="5">
        <v>109.24</v>
      </c>
      <c r="N1397" s="5">
        <v>120.7</v>
      </c>
      <c r="O1397" s="5">
        <v>142.94999999999999</v>
      </c>
      <c r="P1397" s="5">
        <v>157.94999999999999</v>
      </c>
    </row>
    <row r="1398" spans="1:16" ht="15" customHeight="1" x14ac:dyDescent="0.35">
      <c r="A1398" s="1">
        <v>110</v>
      </c>
      <c r="B1398" s="5">
        <v>21.82</v>
      </c>
      <c r="C1398" s="5">
        <v>21.97</v>
      </c>
      <c r="D1398" s="5">
        <v>23.45</v>
      </c>
      <c r="E1398" s="5">
        <v>25.05</v>
      </c>
      <c r="F1398" s="5">
        <v>29.08</v>
      </c>
      <c r="G1398" s="5">
        <v>32.049999999999997</v>
      </c>
      <c r="H1398" s="5">
        <v>35.369999999999997</v>
      </c>
      <c r="I1398" s="5">
        <v>316.54000000000002</v>
      </c>
      <c r="J1398" s="5">
        <v>50.37</v>
      </c>
      <c r="K1398" s="5">
        <v>241.89</v>
      </c>
      <c r="L1398" s="5">
        <v>63.76</v>
      </c>
      <c r="M1398" s="5">
        <v>110.12</v>
      </c>
      <c r="N1398" s="5">
        <v>121.45</v>
      </c>
      <c r="O1398" s="5">
        <v>144.11000000000001</v>
      </c>
      <c r="P1398" s="5">
        <v>158.93</v>
      </c>
    </row>
    <row r="1399" spans="1:16" ht="15" customHeight="1" x14ac:dyDescent="0.35">
      <c r="A1399" s="1">
        <v>111</v>
      </c>
      <c r="B1399" s="5">
        <v>21.82</v>
      </c>
      <c r="C1399" s="5">
        <v>22</v>
      </c>
      <c r="D1399" s="5">
        <v>23.96</v>
      </c>
      <c r="E1399" s="5">
        <v>25.3</v>
      </c>
      <c r="F1399" s="5">
        <v>29.09</v>
      </c>
      <c r="G1399" s="5">
        <v>32.28</v>
      </c>
      <c r="H1399" s="5">
        <v>35.79</v>
      </c>
      <c r="I1399" s="5">
        <v>320.14999999999998</v>
      </c>
      <c r="J1399" s="5">
        <v>51.21</v>
      </c>
      <c r="K1399" s="5">
        <v>244.65</v>
      </c>
      <c r="L1399" s="5">
        <v>64.680000000000007</v>
      </c>
      <c r="M1399" s="5">
        <v>110.95</v>
      </c>
      <c r="N1399" s="5">
        <v>122.16</v>
      </c>
      <c r="O1399" s="5">
        <v>145.18</v>
      </c>
      <c r="P1399" s="5">
        <v>159.85</v>
      </c>
    </row>
    <row r="1400" spans="1:16" ht="15" customHeight="1" x14ac:dyDescent="0.35">
      <c r="A1400" s="1">
        <v>112</v>
      </c>
      <c r="B1400" s="5">
        <v>22.08</v>
      </c>
      <c r="C1400" s="5">
        <v>22.45</v>
      </c>
      <c r="D1400" s="5">
        <v>23.97</v>
      </c>
      <c r="E1400" s="5">
        <v>25.3</v>
      </c>
      <c r="F1400" s="5">
        <v>29.32</v>
      </c>
      <c r="G1400" s="5">
        <v>32.29</v>
      </c>
      <c r="H1400" s="5">
        <v>35.79</v>
      </c>
      <c r="I1400" s="5">
        <v>323.76</v>
      </c>
      <c r="J1400" s="5">
        <v>52.61</v>
      </c>
      <c r="K1400" s="5">
        <v>247.41</v>
      </c>
      <c r="L1400" s="5">
        <v>65.03</v>
      </c>
      <c r="M1400" s="5">
        <v>111.76</v>
      </c>
      <c r="N1400" s="5">
        <v>122.96</v>
      </c>
      <c r="O1400" s="5">
        <v>146.25</v>
      </c>
      <c r="P1400" s="5">
        <v>160.9</v>
      </c>
    </row>
    <row r="1401" spans="1:16" ht="15" customHeight="1" x14ac:dyDescent="0.35">
      <c r="A1401" s="1">
        <v>113</v>
      </c>
      <c r="B1401" s="5">
        <v>22.08</v>
      </c>
      <c r="C1401" s="5">
        <v>22.46</v>
      </c>
      <c r="D1401" s="5">
        <v>24.23</v>
      </c>
      <c r="E1401" s="5">
        <v>25.53</v>
      </c>
      <c r="F1401" s="5">
        <v>29.32</v>
      </c>
      <c r="G1401" s="5">
        <v>32.29</v>
      </c>
      <c r="H1401" s="5">
        <v>36.1</v>
      </c>
      <c r="I1401" s="5">
        <v>326.57</v>
      </c>
      <c r="J1401" s="5">
        <v>52.96</v>
      </c>
      <c r="K1401" s="5">
        <v>249.56</v>
      </c>
      <c r="L1401" s="5">
        <v>66.27</v>
      </c>
      <c r="M1401" s="5">
        <v>112.49</v>
      </c>
      <c r="N1401" s="5">
        <v>123.83</v>
      </c>
      <c r="O1401" s="5">
        <v>147.19999999999999</v>
      </c>
      <c r="P1401" s="5">
        <v>162.04</v>
      </c>
    </row>
    <row r="1402" spans="1:16" ht="15" customHeight="1" x14ac:dyDescent="0.35">
      <c r="A1402" s="1">
        <v>114</v>
      </c>
      <c r="B1402" s="5">
        <v>22.31</v>
      </c>
      <c r="C1402" s="5">
        <v>22.94</v>
      </c>
      <c r="D1402" s="5">
        <v>24.73</v>
      </c>
      <c r="E1402" s="5">
        <v>26.03</v>
      </c>
      <c r="F1402" s="5">
        <v>30.1</v>
      </c>
      <c r="G1402" s="5">
        <v>33.1</v>
      </c>
      <c r="H1402" s="5">
        <v>36.68</v>
      </c>
      <c r="I1402" s="5">
        <v>329.41</v>
      </c>
      <c r="J1402" s="5">
        <v>53.48</v>
      </c>
      <c r="K1402" s="5">
        <v>251.73</v>
      </c>
      <c r="L1402" s="5">
        <v>67.14</v>
      </c>
      <c r="M1402" s="5">
        <v>113.27</v>
      </c>
      <c r="N1402" s="5">
        <v>124.62</v>
      </c>
      <c r="O1402" s="5">
        <v>148.22</v>
      </c>
      <c r="P1402" s="5">
        <v>163.08000000000001</v>
      </c>
    </row>
    <row r="1403" spans="1:16" ht="15" customHeight="1" x14ac:dyDescent="0.35">
      <c r="A1403" s="1">
        <v>115</v>
      </c>
      <c r="B1403" s="5">
        <v>22.99</v>
      </c>
      <c r="C1403" s="5">
        <v>23.28</v>
      </c>
      <c r="D1403" s="5">
        <v>24.74</v>
      </c>
      <c r="E1403" s="5">
        <v>26.35</v>
      </c>
      <c r="F1403" s="5">
        <v>30.1</v>
      </c>
      <c r="G1403" s="5">
        <v>33.409999999999997</v>
      </c>
      <c r="H1403" s="5">
        <v>36.69</v>
      </c>
      <c r="I1403" s="5">
        <v>332.21</v>
      </c>
      <c r="J1403" s="5">
        <v>54.69</v>
      </c>
      <c r="K1403" s="5">
        <v>253.87</v>
      </c>
      <c r="L1403" s="5">
        <v>67.77</v>
      </c>
      <c r="M1403" s="5">
        <v>114.01</v>
      </c>
      <c r="N1403" s="5">
        <v>125.42</v>
      </c>
      <c r="O1403" s="5">
        <v>149.19999999999999</v>
      </c>
      <c r="P1403" s="5">
        <v>164.13</v>
      </c>
    </row>
    <row r="1404" spans="1:16" ht="15" customHeight="1" x14ac:dyDescent="0.35">
      <c r="A1404" s="1">
        <v>116</v>
      </c>
      <c r="B1404" s="5">
        <v>22.99</v>
      </c>
      <c r="C1404" s="5">
        <v>23.28</v>
      </c>
      <c r="D1404" s="5">
        <v>25.05</v>
      </c>
      <c r="E1404" s="5">
        <v>26.35</v>
      </c>
      <c r="F1404" s="5">
        <v>30.54</v>
      </c>
      <c r="G1404" s="5">
        <v>33.83</v>
      </c>
      <c r="H1404" s="5">
        <v>37.26</v>
      </c>
      <c r="I1404" s="5">
        <v>334.3</v>
      </c>
      <c r="J1404" s="5">
        <v>55.62</v>
      </c>
      <c r="K1404" s="5">
        <v>255.46</v>
      </c>
      <c r="L1404" s="5">
        <v>70.03</v>
      </c>
      <c r="M1404" s="5">
        <v>115.56</v>
      </c>
      <c r="N1404" s="5">
        <v>126.29</v>
      </c>
      <c r="O1404" s="5">
        <v>151.22</v>
      </c>
      <c r="P1404" s="5">
        <v>165.26</v>
      </c>
    </row>
    <row r="1405" spans="1:16" ht="15" customHeight="1" x14ac:dyDescent="0.35">
      <c r="A1405" s="1">
        <v>117</v>
      </c>
      <c r="B1405" s="5">
        <v>23.01</v>
      </c>
      <c r="C1405" s="5">
        <v>23.51</v>
      </c>
      <c r="D1405" s="5">
        <v>25.29</v>
      </c>
      <c r="E1405" s="5">
        <v>26.7</v>
      </c>
      <c r="F1405" s="5">
        <v>30.55</v>
      </c>
      <c r="G1405" s="5">
        <v>33.83</v>
      </c>
      <c r="H1405" s="5">
        <v>37.5</v>
      </c>
      <c r="I1405" s="5">
        <v>336.95</v>
      </c>
      <c r="J1405" s="5">
        <v>55.96</v>
      </c>
      <c r="K1405" s="5">
        <v>257.49</v>
      </c>
      <c r="L1405" s="5">
        <v>70.040000000000006</v>
      </c>
      <c r="M1405" s="5">
        <v>115.56</v>
      </c>
      <c r="N1405" s="5">
        <v>127.1</v>
      </c>
      <c r="O1405" s="5">
        <v>151.22</v>
      </c>
      <c r="P1405" s="5">
        <v>166.33</v>
      </c>
    </row>
    <row r="1406" spans="1:16" ht="15" customHeight="1" x14ac:dyDescent="0.35">
      <c r="A1406" s="1">
        <v>118</v>
      </c>
      <c r="B1406" s="5">
        <v>23.26</v>
      </c>
      <c r="C1406" s="5">
        <v>23.78</v>
      </c>
      <c r="D1406" s="5">
        <v>25.31</v>
      </c>
      <c r="E1406" s="5">
        <v>26.78</v>
      </c>
      <c r="F1406" s="5">
        <v>30.77</v>
      </c>
      <c r="G1406" s="5">
        <v>33.840000000000003</v>
      </c>
      <c r="H1406" s="5">
        <v>38.15</v>
      </c>
      <c r="I1406" s="5">
        <v>339.61</v>
      </c>
      <c r="J1406" s="5">
        <v>57.92</v>
      </c>
      <c r="K1406" s="5">
        <v>259.52</v>
      </c>
      <c r="L1406" s="5">
        <v>71.239999999999995</v>
      </c>
      <c r="M1406" s="5">
        <v>116.41</v>
      </c>
      <c r="N1406" s="5">
        <v>127.88</v>
      </c>
      <c r="O1406" s="5">
        <v>152.33000000000001</v>
      </c>
      <c r="P1406" s="5">
        <v>167.34</v>
      </c>
    </row>
    <row r="1407" spans="1:16" ht="15" customHeight="1" x14ac:dyDescent="0.35">
      <c r="A1407" s="1">
        <v>119</v>
      </c>
      <c r="B1407" s="5">
        <v>23.95</v>
      </c>
      <c r="C1407" s="5">
        <v>24.27</v>
      </c>
      <c r="D1407" s="5">
        <v>26.06</v>
      </c>
      <c r="E1407" s="5">
        <v>27.19</v>
      </c>
      <c r="F1407" s="5">
        <v>30.77</v>
      </c>
      <c r="G1407" s="5">
        <v>34.1</v>
      </c>
      <c r="H1407" s="5">
        <v>38.15</v>
      </c>
      <c r="I1407" s="5">
        <v>344.53</v>
      </c>
      <c r="J1407" s="5">
        <v>57.93</v>
      </c>
      <c r="K1407" s="5">
        <v>263.27999999999997</v>
      </c>
      <c r="L1407" s="5">
        <v>71.25</v>
      </c>
      <c r="M1407" s="5">
        <v>117.24</v>
      </c>
      <c r="N1407" s="5">
        <v>128.66</v>
      </c>
      <c r="O1407" s="5">
        <v>153.41999999999999</v>
      </c>
      <c r="P1407" s="5">
        <v>168.37</v>
      </c>
    </row>
    <row r="1408" spans="1:16" ht="15" customHeight="1" x14ac:dyDescent="0.35">
      <c r="A1408" s="1">
        <v>120</v>
      </c>
      <c r="B1408" s="5">
        <v>24.6</v>
      </c>
      <c r="C1408" s="5">
        <v>24.62</v>
      </c>
      <c r="D1408" s="5">
        <v>26.1</v>
      </c>
      <c r="E1408" s="5">
        <v>27.37</v>
      </c>
      <c r="F1408" s="5">
        <v>31.31</v>
      </c>
      <c r="G1408" s="5">
        <v>34.549999999999997</v>
      </c>
      <c r="H1408" s="5">
        <v>38.15</v>
      </c>
      <c r="I1408" s="5">
        <v>347.35</v>
      </c>
      <c r="J1408" s="5">
        <v>59.73</v>
      </c>
      <c r="K1408" s="5">
        <v>265.44</v>
      </c>
      <c r="L1408" s="5">
        <v>73.55</v>
      </c>
      <c r="M1408" s="5">
        <v>118.04</v>
      </c>
      <c r="N1408" s="5">
        <v>129.4</v>
      </c>
      <c r="O1408" s="5">
        <v>154.47</v>
      </c>
      <c r="P1408" s="5">
        <v>169.33</v>
      </c>
    </row>
    <row r="1409" spans="1:16" ht="15" customHeight="1" x14ac:dyDescent="0.35">
      <c r="A1409" s="1">
        <v>121</v>
      </c>
      <c r="B1409" s="5">
        <v>24.61</v>
      </c>
      <c r="C1409" s="5">
        <v>24.63</v>
      </c>
      <c r="D1409" s="5">
        <v>26.1</v>
      </c>
      <c r="E1409" s="5">
        <v>27.38</v>
      </c>
      <c r="F1409" s="5">
        <v>31.51</v>
      </c>
      <c r="G1409" s="5">
        <v>34.549999999999997</v>
      </c>
      <c r="H1409" s="5">
        <v>38.15</v>
      </c>
      <c r="I1409" s="5">
        <v>349.67</v>
      </c>
      <c r="J1409" s="5">
        <v>59.73</v>
      </c>
      <c r="K1409" s="5">
        <v>267.20999999999998</v>
      </c>
      <c r="L1409" s="5">
        <v>74.260000000000005</v>
      </c>
      <c r="M1409" s="5">
        <v>118.91</v>
      </c>
      <c r="N1409" s="5">
        <v>130.12</v>
      </c>
      <c r="O1409" s="5">
        <v>155.6</v>
      </c>
      <c r="P1409" s="5">
        <v>170.28</v>
      </c>
    </row>
    <row r="1410" spans="1:16" ht="15" customHeight="1" x14ac:dyDescent="0.35">
      <c r="A1410" s="1">
        <v>122</v>
      </c>
      <c r="B1410" s="5">
        <v>24.61</v>
      </c>
      <c r="C1410" s="5">
        <v>25.1</v>
      </c>
      <c r="D1410" s="5">
        <v>26.36</v>
      </c>
      <c r="E1410" s="5">
        <v>27.62</v>
      </c>
      <c r="F1410" s="5">
        <v>31.75</v>
      </c>
      <c r="G1410" s="5">
        <v>35.1</v>
      </c>
      <c r="H1410" s="5">
        <v>38.82</v>
      </c>
      <c r="I1410" s="5">
        <v>355.95</v>
      </c>
      <c r="J1410" s="5">
        <v>61.5</v>
      </c>
      <c r="K1410" s="5">
        <v>272.01</v>
      </c>
      <c r="L1410" s="5">
        <v>74.97</v>
      </c>
      <c r="M1410" s="5">
        <v>119.73</v>
      </c>
      <c r="N1410" s="5">
        <v>130.83000000000001</v>
      </c>
      <c r="O1410" s="5">
        <v>156.66999999999999</v>
      </c>
      <c r="P1410" s="5">
        <v>171.21</v>
      </c>
    </row>
    <row r="1411" spans="1:16" ht="15" customHeight="1" x14ac:dyDescent="0.35">
      <c r="A1411" s="1">
        <v>123</v>
      </c>
      <c r="B1411" s="5">
        <v>24.83</v>
      </c>
      <c r="C1411" s="5">
        <v>25.12</v>
      </c>
      <c r="D1411" s="5">
        <v>27.15</v>
      </c>
      <c r="E1411" s="5">
        <v>28.38</v>
      </c>
      <c r="F1411" s="5">
        <v>32</v>
      </c>
      <c r="G1411" s="5">
        <v>35.74</v>
      </c>
      <c r="H1411" s="5">
        <v>39.35</v>
      </c>
      <c r="I1411" s="5">
        <v>355.96</v>
      </c>
      <c r="J1411" s="5">
        <v>61.51</v>
      </c>
      <c r="K1411" s="5">
        <v>272.02</v>
      </c>
      <c r="L1411" s="5">
        <v>75</v>
      </c>
      <c r="M1411" s="5">
        <v>120.54</v>
      </c>
      <c r="N1411" s="5">
        <v>131.59</v>
      </c>
      <c r="O1411" s="5">
        <v>157.72999999999999</v>
      </c>
      <c r="P1411" s="5">
        <v>172.19</v>
      </c>
    </row>
    <row r="1412" spans="1:16" ht="15" customHeight="1" x14ac:dyDescent="0.35">
      <c r="A1412" s="1">
        <v>124</v>
      </c>
      <c r="B1412" s="5">
        <v>24.83</v>
      </c>
      <c r="C1412" s="5">
        <v>25.37</v>
      </c>
      <c r="D1412" s="5">
        <v>27.43</v>
      </c>
      <c r="E1412" s="5">
        <v>28.38</v>
      </c>
      <c r="F1412" s="5">
        <v>32.21</v>
      </c>
      <c r="G1412" s="5">
        <v>35.75</v>
      </c>
      <c r="H1412" s="5">
        <v>39.36</v>
      </c>
      <c r="I1412" s="5">
        <v>358.6</v>
      </c>
      <c r="J1412" s="5">
        <v>62.01</v>
      </c>
      <c r="K1412" s="5">
        <v>274.02999999999997</v>
      </c>
      <c r="L1412" s="5">
        <v>77.540000000000006</v>
      </c>
      <c r="M1412" s="5">
        <v>121.36</v>
      </c>
      <c r="N1412" s="5">
        <v>132.31</v>
      </c>
      <c r="O1412" s="5">
        <v>158.81</v>
      </c>
      <c r="P1412" s="5">
        <v>173.14</v>
      </c>
    </row>
    <row r="1413" spans="1:16" ht="15" customHeight="1" x14ac:dyDescent="0.35">
      <c r="A1413" s="1">
        <v>125</v>
      </c>
      <c r="B1413" s="5">
        <v>25.07</v>
      </c>
      <c r="C1413" s="5">
        <v>25.37</v>
      </c>
      <c r="D1413" s="5">
        <v>27.43</v>
      </c>
      <c r="E1413" s="5">
        <v>28.38</v>
      </c>
      <c r="F1413" s="5">
        <v>32.22</v>
      </c>
      <c r="G1413" s="5">
        <v>35.75</v>
      </c>
      <c r="H1413" s="5">
        <v>39.36</v>
      </c>
      <c r="I1413" s="5">
        <v>361.6</v>
      </c>
      <c r="J1413" s="5">
        <v>63.53</v>
      </c>
      <c r="K1413" s="5">
        <v>276.33</v>
      </c>
      <c r="L1413" s="5">
        <v>78.28</v>
      </c>
      <c r="M1413" s="5">
        <v>122.19</v>
      </c>
      <c r="N1413" s="5">
        <v>133.07</v>
      </c>
      <c r="O1413" s="5">
        <v>159.9</v>
      </c>
      <c r="P1413" s="5">
        <v>174.13</v>
      </c>
    </row>
    <row r="1414" spans="1:16" ht="15" customHeight="1" x14ac:dyDescent="0.35">
      <c r="A1414" s="1">
        <v>126</v>
      </c>
      <c r="B1414" s="5">
        <v>25.57</v>
      </c>
      <c r="C1414" s="5">
        <v>25.62</v>
      </c>
      <c r="D1414" s="5">
        <v>27.72</v>
      </c>
      <c r="E1414" s="5">
        <v>28.39</v>
      </c>
      <c r="F1414" s="5">
        <v>32.409999999999997</v>
      </c>
      <c r="G1414" s="5">
        <v>35.75</v>
      </c>
      <c r="H1414" s="5">
        <v>40.75</v>
      </c>
      <c r="I1414" s="5">
        <v>363.84</v>
      </c>
      <c r="J1414" s="5">
        <v>64.39</v>
      </c>
      <c r="K1414" s="5">
        <v>278.04000000000002</v>
      </c>
      <c r="L1414" s="5">
        <v>78.650000000000006</v>
      </c>
      <c r="M1414" s="5">
        <v>123.07</v>
      </c>
      <c r="N1414" s="5">
        <v>133.77000000000001</v>
      </c>
      <c r="O1414" s="5">
        <v>161.05000000000001</v>
      </c>
      <c r="P1414" s="5">
        <v>175.05</v>
      </c>
    </row>
    <row r="1415" spans="1:16" ht="15" customHeight="1" x14ac:dyDescent="0.35">
      <c r="A1415" s="1">
        <v>127</v>
      </c>
      <c r="B1415" s="5">
        <v>25.57</v>
      </c>
      <c r="C1415" s="5">
        <v>26.07</v>
      </c>
      <c r="D1415" s="5">
        <v>28.25</v>
      </c>
      <c r="E1415" s="5">
        <v>29.03</v>
      </c>
      <c r="F1415" s="5">
        <v>33.15</v>
      </c>
      <c r="G1415" s="5">
        <v>36.4</v>
      </c>
      <c r="H1415" s="5">
        <v>40.75</v>
      </c>
      <c r="I1415" s="5">
        <v>366.79</v>
      </c>
      <c r="J1415" s="5">
        <v>65.87</v>
      </c>
      <c r="K1415" s="5">
        <v>280.3</v>
      </c>
      <c r="L1415" s="5">
        <v>78.83</v>
      </c>
      <c r="M1415" s="5">
        <v>123.87</v>
      </c>
      <c r="N1415" s="5">
        <v>134.54</v>
      </c>
      <c r="O1415" s="5">
        <v>162.09</v>
      </c>
      <c r="P1415" s="5">
        <v>176.05</v>
      </c>
    </row>
    <row r="1416" spans="1:16" ht="15" customHeight="1" x14ac:dyDescent="0.35">
      <c r="A1416" s="1">
        <v>128</v>
      </c>
      <c r="B1416" s="5">
        <v>25.81</v>
      </c>
      <c r="C1416" s="5">
        <v>26.07</v>
      </c>
      <c r="D1416" s="5">
        <v>28.26</v>
      </c>
      <c r="E1416" s="5">
        <v>29.04</v>
      </c>
      <c r="F1416" s="5">
        <v>33.15</v>
      </c>
      <c r="G1416" s="5">
        <v>36.4</v>
      </c>
      <c r="H1416" s="5">
        <v>40.97</v>
      </c>
      <c r="I1416" s="5">
        <v>369.78</v>
      </c>
      <c r="J1416" s="5">
        <v>66.78</v>
      </c>
      <c r="K1416" s="5">
        <v>282.58</v>
      </c>
      <c r="L1416" s="5">
        <v>79.59</v>
      </c>
      <c r="M1416" s="5">
        <v>124.71</v>
      </c>
      <c r="N1416" s="5">
        <v>135.36000000000001</v>
      </c>
      <c r="O1416" s="5">
        <v>163.19999999999999</v>
      </c>
      <c r="P1416" s="5">
        <v>177.13</v>
      </c>
    </row>
    <row r="1417" spans="1:16" ht="15" customHeight="1" x14ac:dyDescent="0.35">
      <c r="A1417" s="1">
        <v>129</v>
      </c>
      <c r="B1417" s="5">
        <v>26.3</v>
      </c>
      <c r="C1417" s="5">
        <v>26.4</v>
      </c>
      <c r="D1417" s="5">
        <v>28.27</v>
      </c>
      <c r="E1417" s="5">
        <v>29.23</v>
      </c>
      <c r="F1417" s="5">
        <v>33.15</v>
      </c>
      <c r="G1417" s="5">
        <v>36.4</v>
      </c>
      <c r="H1417" s="5">
        <v>41.36</v>
      </c>
      <c r="I1417" s="5">
        <v>372.76</v>
      </c>
      <c r="J1417" s="5">
        <v>66.790000000000006</v>
      </c>
      <c r="K1417" s="5">
        <v>284.86</v>
      </c>
      <c r="L1417" s="5">
        <v>80.64</v>
      </c>
      <c r="M1417" s="5">
        <v>124.72</v>
      </c>
      <c r="N1417" s="5">
        <v>136.13999999999999</v>
      </c>
      <c r="O1417" s="5">
        <v>163.19999999999999</v>
      </c>
      <c r="P1417" s="5">
        <v>178.16</v>
      </c>
    </row>
    <row r="1418" spans="1:16" ht="15" customHeight="1" x14ac:dyDescent="0.35">
      <c r="A1418" s="1">
        <v>130</v>
      </c>
      <c r="B1418" s="5">
        <v>26.41</v>
      </c>
      <c r="C1418" s="5">
        <v>26.41</v>
      </c>
      <c r="D1418" s="5">
        <v>28.52</v>
      </c>
      <c r="E1418" s="5">
        <v>29.24</v>
      </c>
      <c r="F1418" s="5">
        <v>33.39</v>
      </c>
      <c r="G1418" s="5">
        <v>36.880000000000003</v>
      </c>
      <c r="H1418" s="5">
        <v>42.31</v>
      </c>
      <c r="I1418" s="5">
        <v>382.98</v>
      </c>
      <c r="J1418" s="5">
        <v>69.86</v>
      </c>
      <c r="K1418" s="5">
        <v>292.67</v>
      </c>
      <c r="L1418" s="5">
        <v>82.41</v>
      </c>
      <c r="M1418" s="5">
        <v>126.35</v>
      </c>
      <c r="N1418" s="5">
        <v>136.96</v>
      </c>
      <c r="O1418" s="5">
        <v>165.34</v>
      </c>
      <c r="P1418" s="5">
        <v>179.22</v>
      </c>
    </row>
    <row r="1419" spans="1:16" ht="15" customHeight="1" x14ac:dyDescent="0.35">
      <c r="A1419" s="1">
        <v>131</v>
      </c>
      <c r="B1419" s="5">
        <v>26.55</v>
      </c>
      <c r="C1419" s="5">
        <v>26.82</v>
      </c>
      <c r="D1419" s="5">
        <v>29.06</v>
      </c>
      <c r="E1419" s="5">
        <v>29.71</v>
      </c>
      <c r="F1419" s="5">
        <v>33.880000000000003</v>
      </c>
      <c r="G1419" s="5">
        <v>37.22</v>
      </c>
      <c r="H1419" s="5">
        <v>42.5</v>
      </c>
      <c r="I1419" s="5">
        <v>382.99</v>
      </c>
      <c r="J1419" s="5">
        <v>69.86</v>
      </c>
      <c r="K1419" s="5">
        <v>292.67</v>
      </c>
      <c r="L1419" s="5">
        <v>82.41</v>
      </c>
      <c r="M1419" s="5">
        <v>127.19</v>
      </c>
      <c r="N1419" s="5">
        <v>138.62</v>
      </c>
      <c r="O1419" s="5">
        <v>166.43</v>
      </c>
      <c r="P1419" s="5">
        <v>181.4</v>
      </c>
    </row>
    <row r="1420" spans="1:16" ht="15" customHeight="1" x14ac:dyDescent="0.35">
      <c r="A1420" s="1">
        <v>132</v>
      </c>
      <c r="B1420" s="5">
        <v>26.83</v>
      </c>
      <c r="C1420" s="5">
        <v>26.84</v>
      </c>
      <c r="D1420" s="5">
        <v>29.07</v>
      </c>
      <c r="E1420" s="5">
        <v>29.91</v>
      </c>
      <c r="F1420" s="5">
        <v>33.880000000000003</v>
      </c>
      <c r="G1420" s="5">
        <v>37.229999999999997</v>
      </c>
      <c r="H1420" s="5">
        <v>42.51</v>
      </c>
      <c r="I1420" s="5">
        <v>386.42</v>
      </c>
      <c r="J1420" s="5">
        <v>70.09</v>
      </c>
      <c r="K1420" s="5">
        <v>295.3</v>
      </c>
      <c r="L1420" s="5">
        <v>82.42</v>
      </c>
      <c r="M1420" s="5">
        <v>128.03</v>
      </c>
      <c r="N1420" s="5">
        <v>138.63</v>
      </c>
      <c r="O1420" s="5">
        <v>167.54</v>
      </c>
      <c r="P1420" s="5">
        <v>181.41</v>
      </c>
    </row>
    <row r="1421" spans="1:16" ht="15" customHeight="1" x14ac:dyDescent="0.35">
      <c r="A1421" s="1">
        <v>133</v>
      </c>
      <c r="B1421" s="5">
        <v>27.06</v>
      </c>
      <c r="C1421" s="5">
        <v>27.13</v>
      </c>
      <c r="D1421" s="5">
        <v>29.07</v>
      </c>
      <c r="E1421" s="5">
        <v>29.91</v>
      </c>
      <c r="F1421" s="5">
        <v>34.06</v>
      </c>
      <c r="G1421" s="5">
        <v>37.229999999999997</v>
      </c>
      <c r="H1421" s="5">
        <v>42.51</v>
      </c>
      <c r="I1421" s="5">
        <v>388.75</v>
      </c>
      <c r="J1421" s="5">
        <v>70.09</v>
      </c>
      <c r="K1421" s="5">
        <v>297.07</v>
      </c>
      <c r="L1421" s="5">
        <v>84.37</v>
      </c>
      <c r="M1421" s="5">
        <v>128.83000000000001</v>
      </c>
      <c r="N1421" s="5">
        <v>139.43</v>
      </c>
      <c r="O1421" s="5">
        <v>168.59</v>
      </c>
      <c r="P1421" s="5">
        <v>182.46</v>
      </c>
    </row>
    <row r="1422" spans="1:16" ht="15" customHeight="1" x14ac:dyDescent="0.35">
      <c r="A1422" s="1">
        <v>134</v>
      </c>
      <c r="B1422" s="5">
        <v>27.56</v>
      </c>
      <c r="C1422" s="5">
        <v>27.6</v>
      </c>
      <c r="D1422" s="5">
        <v>29.64</v>
      </c>
      <c r="E1422" s="5">
        <v>30.45</v>
      </c>
      <c r="F1422" s="5">
        <v>34.65</v>
      </c>
      <c r="G1422" s="5">
        <v>37.840000000000003</v>
      </c>
      <c r="H1422" s="5">
        <v>42.51</v>
      </c>
      <c r="I1422" s="5">
        <v>388.76</v>
      </c>
      <c r="J1422" s="5">
        <v>70.75</v>
      </c>
      <c r="K1422" s="5">
        <v>297.08</v>
      </c>
      <c r="L1422" s="5">
        <v>85.17</v>
      </c>
      <c r="M1422" s="5">
        <v>129.66999999999999</v>
      </c>
      <c r="N1422" s="5">
        <v>140.26</v>
      </c>
      <c r="O1422" s="5">
        <v>169.69</v>
      </c>
      <c r="P1422" s="5">
        <v>183.54</v>
      </c>
    </row>
    <row r="1423" spans="1:16" ht="15" customHeight="1" x14ac:dyDescent="0.35">
      <c r="A1423" s="1">
        <v>135</v>
      </c>
      <c r="B1423" s="5">
        <v>27.77</v>
      </c>
      <c r="C1423" s="5">
        <v>28.14</v>
      </c>
      <c r="D1423" s="5">
        <v>30.18</v>
      </c>
      <c r="E1423" s="5">
        <v>30.99</v>
      </c>
      <c r="F1423" s="5">
        <v>35.08</v>
      </c>
      <c r="G1423" s="5">
        <v>38.04</v>
      </c>
      <c r="H1423" s="5">
        <v>42.72</v>
      </c>
      <c r="I1423" s="5">
        <v>391.7</v>
      </c>
      <c r="J1423" s="5">
        <v>71.61</v>
      </c>
      <c r="K1423" s="5">
        <v>299.33</v>
      </c>
      <c r="L1423" s="5">
        <v>85.38</v>
      </c>
      <c r="M1423" s="5">
        <v>130.51</v>
      </c>
      <c r="N1423" s="5">
        <v>141</v>
      </c>
      <c r="O1423" s="5">
        <v>170.79</v>
      </c>
      <c r="P1423" s="5">
        <v>184.51</v>
      </c>
    </row>
    <row r="1424" spans="1:16" ht="15" customHeight="1" x14ac:dyDescent="0.35">
      <c r="A1424" s="1">
        <v>136</v>
      </c>
      <c r="B1424" s="5">
        <v>27.98</v>
      </c>
      <c r="C1424" s="5">
        <v>28.14</v>
      </c>
      <c r="D1424" s="5">
        <v>30.39</v>
      </c>
      <c r="E1424" s="5">
        <v>31.26</v>
      </c>
      <c r="F1424" s="5">
        <v>35.08</v>
      </c>
      <c r="G1424" s="5">
        <v>38.630000000000003</v>
      </c>
      <c r="H1424" s="5">
        <v>43.01</v>
      </c>
      <c r="I1424" s="5">
        <v>394.68</v>
      </c>
      <c r="J1424" s="5">
        <v>73.150000000000006</v>
      </c>
      <c r="K1424" s="5">
        <v>301.61</v>
      </c>
      <c r="L1424" s="5">
        <v>87</v>
      </c>
      <c r="M1424" s="5">
        <v>131.37</v>
      </c>
      <c r="N1424" s="5">
        <v>141.74</v>
      </c>
      <c r="O1424" s="5">
        <v>171.91</v>
      </c>
      <c r="P1424" s="5">
        <v>185.48</v>
      </c>
    </row>
    <row r="1425" spans="1:16" ht="15" customHeight="1" x14ac:dyDescent="0.35">
      <c r="A1425" s="1">
        <v>137</v>
      </c>
      <c r="B1425" s="5">
        <v>27.98</v>
      </c>
      <c r="C1425" s="5">
        <v>28.21</v>
      </c>
      <c r="D1425" s="5">
        <v>31.19</v>
      </c>
      <c r="E1425" s="5">
        <v>31.49</v>
      </c>
      <c r="F1425" s="5">
        <v>35.08</v>
      </c>
      <c r="G1425" s="5">
        <v>38.630000000000003</v>
      </c>
      <c r="H1425" s="5">
        <v>43.02</v>
      </c>
      <c r="I1425" s="5">
        <v>405.28</v>
      </c>
      <c r="J1425" s="5">
        <v>73.34</v>
      </c>
      <c r="K1425" s="5">
        <v>309.7</v>
      </c>
      <c r="L1425" s="5">
        <v>87.82</v>
      </c>
      <c r="M1425" s="5">
        <v>133</v>
      </c>
      <c r="N1425" s="5">
        <v>142.47</v>
      </c>
      <c r="O1425" s="5">
        <v>174.05</v>
      </c>
      <c r="P1425" s="5">
        <v>186.44</v>
      </c>
    </row>
    <row r="1426" spans="1:16" ht="15" customHeight="1" x14ac:dyDescent="0.35">
      <c r="A1426" s="1">
        <v>138</v>
      </c>
      <c r="B1426" s="5">
        <v>28.5</v>
      </c>
      <c r="C1426" s="5">
        <v>28.93</v>
      </c>
      <c r="D1426" s="5">
        <v>31.34</v>
      </c>
      <c r="E1426" s="5">
        <v>31.75</v>
      </c>
      <c r="F1426" s="5">
        <v>35.799999999999997</v>
      </c>
      <c r="G1426" s="5">
        <v>38.96</v>
      </c>
      <c r="H1426" s="5">
        <v>44.2</v>
      </c>
      <c r="I1426" s="5">
        <v>407.43</v>
      </c>
      <c r="J1426" s="5">
        <v>74.209999999999994</v>
      </c>
      <c r="K1426" s="5">
        <v>311.35000000000002</v>
      </c>
      <c r="L1426" s="5">
        <v>88.12</v>
      </c>
      <c r="M1426" s="5">
        <v>133.82</v>
      </c>
      <c r="N1426" s="5">
        <v>143.19</v>
      </c>
      <c r="O1426" s="5">
        <v>175.12</v>
      </c>
      <c r="P1426" s="5">
        <v>187.38</v>
      </c>
    </row>
    <row r="1427" spans="1:16" ht="15" customHeight="1" x14ac:dyDescent="0.35">
      <c r="A1427" s="1">
        <v>139</v>
      </c>
      <c r="B1427" s="5">
        <v>29.03</v>
      </c>
      <c r="C1427" s="5">
        <v>29.04</v>
      </c>
      <c r="D1427" s="5">
        <v>31.35</v>
      </c>
      <c r="E1427" s="5">
        <v>31.75</v>
      </c>
      <c r="F1427" s="5">
        <v>35.799999999999997</v>
      </c>
      <c r="G1427" s="5">
        <v>39.69</v>
      </c>
      <c r="H1427" s="5">
        <v>44.21</v>
      </c>
      <c r="I1427" s="5">
        <v>407.44</v>
      </c>
      <c r="J1427" s="5">
        <v>75.069999999999993</v>
      </c>
      <c r="K1427" s="5">
        <v>311.36</v>
      </c>
      <c r="L1427" s="5">
        <v>89.87</v>
      </c>
      <c r="M1427" s="5">
        <v>133.84</v>
      </c>
      <c r="N1427" s="5">
        <v>143.9</v>
      </c>
      <c r="O1427" s="5">
        <v>175.14</v>
      </c>
      <c r="P1427" s="5">
        <v>188.31</v>
      </c>
    </row>
    <row r="1428" spans="1:16" ht="15" customHeight="1" x14ac:dyDescent="0.35">
      <c r="A1428" s="1">
        <v>140</v>
      </c>
      <c r="B1428" s="5">
        <v>29.27</v>
      </c>
      <c r="C1428" s="5">
        <v>29.5</v>
      </c>
      <c r="D1428" s="5">
        <v>31.66</v>
      </c>
      <c r="E1428" s="5">
        <v>32.25</v>
      </c>
      <c r="F1428" s="5">
        <v>36.19</v>
      </c>
      <c r="G1428" s="5">
        <v>39.69</v>
      </c>
      <c r="H1428" s="5">
        <v>44.21</v>
      </c>
      <c r="I1428" s="5">
        <v>407.45</v>
      </c>
      <c r="J1428" s="5">
        <v>75.97</v>
      </c>
      <c r="K1428" s="5">
        <v>311.36</v>
      </c>
      <c r="L1428" s="5">
        <v>90.82</v>
      </c>
      <c r="M1428" s="5">
        <v>135.46</v>
      </c>
      <c r="N1428" s="5">
        <v>144.66999999999999</v>
      </c>
      <c r="O1428" s="5">
        <v>177.25</v>
      </c>
      <c r="P1428" s="5">
        <v>189.32</v>
      </c>
    </row>
    <row r="1429" spans="1:16" ht="15" customHeight="1" x14ac:dyDescent="0.35">
      <c r="A1429" s="1">
        <v>141</v>
      </c>
      <c r="B1429" s="5">
        <v>29.28</v>
      </c>
      <c r="C1429" s="5">
        <v>29.5</v>
      </c>
      <c r="D1429" s="5">
        <v>31.94</v>
      </c>
      <c r="E1429" s="5">
        <v>32.26</v>
      </c>
      <c r="F1429" s="5">
        <v>36.19</v>
      </c>
      <c r="G1429" s="5">
        <v>39.69</v>
      </c>
      <c r="H1429" s="5">
        <v>44.63</v>
      </c>
      <c r="I1429" s="5">
        <v>408.49</v>
      </c>
      <c r="J1429" s="5">
        <v>77.55</v>
      </c>
      <c r="K1429" s="5">
        <v>312.16000000000003</v>
      </c>
      <c r="L1429" s="5">
        <v>90.86</v>
      </c>
      <c r="M1429" s="5">
        <v>135.47</v>
      </c>
      <c r="N1429" s="5">
        <v>145.38</v>
      </c>
      <c r="O1429" s="5">
        <v>177.28</v>
      </c>
      <c r="P1429" s="5">
        <v>190.25</v>
      </c>
    </row>
    <row r="1430" spans="1:16" ht="15" customHeight="1" x14ac:dyDescent="0.35">
      <c r="A1430" s="1">
        <v>142</v>
      </c>
      <c r="B1430" s="5">
        <v>29.65</v>
      </c>
      <c r="C1430" s="5">
        <v>29.65</v>
      </c>
      <c r="D1430" s="5">
        <v>32.22</v>
      </c>
      <c r="E1430" s="5">
        <v>32.770000000000003</v>
      </c>
      <c r="F1430" s="5">
        <v>36.729999999999997</v>
      </c>
      <c r="G1430" s="5">
        <v>39.869999999999997</v>
      </c>
      <c r="H1430" s="5">
        <v>44.63</v>
      </c>
      <c r="I1430" s="5">
        <v>415.3</v>
      </c>
      <c r="J1430" s="5">
        <v>77.67</v>
      </c>
      <c r="K1430" s="5">
        <v>317.37</v>
      </c>
      <c r="L1430" s="5">
        <v>91.74</v>
      </c>
      <c r="M1430" s="5">
        <v>136.31</v>
      </c>
      <c r="N1430" s="5">
        <v>146.15</v>
      </c>
      <c r="O1430" s="5">
        <v>178.38</v>
      </c>
      <c r="P1430" s="5">
        <v>191.25</v>
      </c>
    </row>
    <row r="1431" spans="1:16" ht="15" customHeight="1" x14ac:dyDescent="0.35">
      <c r="A1431" s="1">
        <v>143</v>
      </c>
      <c r="B1431" s="5">
        <v>29.65</v>
      </c>
      <c r="C1431" s="5">
        <v>29.66</v>
      </c>
      <c r="D1431" s="5">
        <v>32.22</v>
      </c>
      <c r="E1431" s="5">
        <v>32.78</v>
      </c>
      <c r="F1431" s="5">
        <v>36.729999999999997</v>
      </c>
      <c r="G1431" s="5">
        <v>39.869999999999997</v>
      </c>
      <c r="H1431" s="5">
        <v>44.63</v>
      </c>
      <c r="I1431" s="5">
        <v>418.11</v>
      </c>
      <c r="J1431" s="5">
        <v>79.319999999999993</v>
      </c>
      <c r="K1431" s="5">
        <v>319.52</v>
      </c>
      <c r="L1431" s="5">
        <v>91.81</v>
      </c>
      <c r="M1431" s="5">
        <v>137.15</v>
      </c>
      <c r="N1431" s="5">
        <v>146.88</v>
      </c>
      <c r="O1431" s="5">
        <v>179.47</v>
      </c>
      <c r="P1431" s="5">
        <v>192.2</v>
      </c>
    </row>
    <row r="1432" spans="1:16" ht="15" customHeight="1" x14ac:dyDescent="0.35">
      <c r="A1432" s="1">
        <v>144</v>
      </c>
      <c r="B1432" s="5">
        <v>30.49</v>
      </c>
      <c r="C1432" s="5">
        <v>30.9</v>
      </c>
      <c r="D1432" s="5">
        <v>33.159999999999997</v>
      </c>
      <c r="E1432" s="5">
        <v>33.799999999999997</v>
      </c>
      <c r="F1432" s="5">
        <v>37.71</v>
      </c>
      <c r="G1432" s="5">
        <v>41.29</v>
      </c>
      <c r="H1432" s="5">
        <v>46.19</v>
      </c>
      <c r="I1432" s="5">
        <v>420.98</v>
      </c>
      <c r="J1432" s="5">
        <v>80.94</v>
      </c>
      <c r="K1432" s="5">
        <v>321.70999999999998</v>
      </c>
      <c r="L1432" s="5">
        <v>95.39</v>
      </c>
      <c r="M1432" s="5">
        <v>137.47</v>
      </c>
      <c r="N1432" s="5">
        <v>147.69999999999999</v>
      </c>
      <c r="O1432" s="5">
        <v>179.89</v>
      </c>
      <c r="P1432" s="5">
        <v>193.27</v>
      </c>
    </row>
    <row r="1433" spans="1:16" ht="15" customHeight="1" x14ac:dyDescent="0.35">
      <c r="A1433" s="1">
        <v>145</v>
      </c>
      <c r="B1433" s="5">
        <v>30.49</v>
      </c>
      <c r="C1433" s="5">
        <v>31.21</v>
      </c>
      <c r="D1433" s="5">
        <v>33.17</v>
      </c>
      <c r="E1433" s="5">
        <v>33.799999999999997</v>
      </c>
      <c r="F1433" s="5">
        <v>38.270000000000003</v>
      </c>
      <c r="G1433" s="5">
        <v>41.38</v>
      </c>
      <c r="H1433" s="5">
        <v>46.19</v>
      </c>
      <c r="I1433" s="5">
        <v>420.99</v>
      </c>
      <c r="J1433" s="5">
        <v>80.95</v>
      </c>
      <c r="K1433" s="5">
        <v>321.70999999999998</v>
      </c>
      <c r="L1433" s="5">
        <v>95.4</v>
      </c>
      <c r="M1433" s="5">
        <v>138.77000000000001</v>
      </c>
      <c r="N1433" s="5">
        <v>149.33000000000001</v>
      </c>
      <c r="O1433" s="5">
        <v>181.59</v>
      </c>
      <c r="P1433" s="5">
        <v>195.41</v>
      </c>
    </row>
    <row r="1434" spans="1:16" ht="15" customHeight="1" x14ac:dyDescent="0.35">
      <c r="A1434" s="1">
        <v>146</v>
      </c>
      <c r="B1434" s="5">
        <v>30.5</v>
      </c>
      <c r="C1434" s="5">
        <v>31.21</v>
      </c>
      <c r="D1434" s="5">
        <v>33.17</v>
      </c>
      <c r="E1434" s="5">
        <v>33.81</v>
      </c>
      <c r="F1434" s="5">
        <v>38.28</v>
      </c>
      <c r="G1434" s="5">
        <v>41.39</v>
      </c>
      <c r="H1434" s="5">
        <v>46.2</v>
      </c>
      <c r="I1434" s="5">
        <v>422.94</v>
      </c>
      <c r="J1434" s="5">
        <v>81.17</v>
      </c>
      <c r="K1434" s="5">
        <v>323.20999999999998</v>
      </c>
      <c r="L1434" s="5">
        <v>98.17</v>
      </c>
      <c r="M1434" s="5">
        <v>139.62</v>
      </c>
      <c r="N1434" s="5">
        <v>149.33000000000001</v>
      </c>
      <c r="O1434" s="5">
        <v>182.7</v>
      </c>
      <c r="P1434" s="5">
        <v>195.41</v>
      </c>
    </row>
    <row r="1435" spans="1:16" ht="15" customHeight="1" x14ac:dyDescent="0.35">
      <c r="A1435" s="1">
        <v>147</v>
      </c>
      <c r="B1435" s="5">
        <v>30.87</v>
      </c>
      <c r="C1435" s="5">
        <v>31.52</v>
      </c>
      <c r="D1435" s="5">
        <v>33.75</v>
      </c>
      <c r="E1435" s="5">
        <v>34.15</v>
      </c>
      <c r="F1435" s="5">
        <v>38.549999999999997</v>
      </c>
      <c r="G1435" s="5">
        <v>41.39</v>
      </c>
      <c r="H1435" s="5">
        <v>46.62</v>
      </c>
      <c r="I1435" s="5">
        <v>433.02</v>
      </c>
      <c r="J1435" s="5">
        <v>82.03</v>
      </c>
      <c r="K1435" s="5">
        <v>330.91</v>
      </c>
      <c r="L1435" s="5">
        <v>98.18</v>
      </c>
      <c r="M1435" s="5">
        <v>140.44999999999999</v>
      </c>
      <c r="N1435" s="5">
        <v>150.16</v>
      </c>
      <c r="O1435" s="5">
        <v>183.79</v>
      </c>
      <c r="P1435" s="5">
        <v>196.5</v>
      </c>
    </row>
    <row r="1436" spans="1:16" ht="15" customHeight="1" x14ac:dyDescent="0.35">
      <c r="A1436" s="1">
        <v>148</v>
      </c>
      <c r="B1436" s="5">
        <v>30.87</v>
      </c>
      <c r="C1436" s="5">
        <v>31.71</v>
      </c>
      <c r="D1436" s="5">
        <v>33.79</v>
      </c>
      <c r="E1436" s="5">
        <v>34.15</v>
      </c>
      <c r="F1436" s="5">
        <v>38.549999999999997</v>
      </c>
      <c r="G1436" s="5">
        <v>41.39</v>
      </c>
      <c r="H1436" s="5">
        <v>46.63</v>
      </c>
      <c r="I1436" s="5">
        <v>433.03</v>
      </c>
      <c r="J1436" s="5">
        <v>82.87</v>
      </c>
      <c r="K1436" s="5">
        <v>330.91</v>
      </c>
      <c r="L1436" s="5">
        <v>98.19</v>
      </c>
      <c r="M1436" s="5">
        <v>142.13</v>
      </c>
      <c r="N1436" s="5">
        <v>150.94999999999999</v>
      </c>
      <c r="O1436" s="5">
        <v>185.99</v>
      </c>
      <c r="P1436" s="5">
        <v>197.53</v>
      </c>
    </row>
    <row r="1437" spans="1:16" ht="15" customHeight="1" x14ac:dyDescent="0.35">
      <c r="A1437" s="1">
        <v>149</v>
      </c>
      <c r="B1437" s="5">
        <v>30.87</v>
      </c>
      <c r="C1437" s="5">
        <v>31.71</v>
      </c>
      <c r="D1437" s="5">
        <v>34.26</v>
      </c>
      <c r="E1437" s="5">
        <v>34.68</v>
      </c>
      <c r="F1437" s="5">
        <v>38.68</v>
      </c>
      <c r="G1437" s="5">
        <v>41.78</v>
      </c>
      <c r="H1437" s="5">
        <v>47.07</v>
      </c>
      <c r="I1437" s="5">
        <v>433.95</v>
      </c>
      <c r="J1437" s="5">
        <v>84.62</v>
      </c>
      <c r="K1437" s="5">
        <v>331.62</v>
      </c>
      <c r="L1437" s="5">
        <v>99.05</v>
      </c>
      <c r="M1437" s="5">
        <v>142.13999999999999</v>
      </c>
      <c r="N1437" s="5">
        <v>151.79</v>
      </c>
      <c r="O1437" s="5">
        <v>186</v>
      </c>
      <c r="P1437" s="5">
        <v>198.64</v>
      </c>
    </row>
    <row r="1438" spans="1:16" ht="15" customHeight="1" x14ac:dyDescent="0.35">
      <c r="A1438" s="1">
        <v>150</v>
      </c>
      <c r="B1438" s="5">
        <v>30.87</v>
      </c>
      <c r="C1438" s="5">
        <v>31.71</v>
      </c>
      <c r="D1438" s="5">
        <v>34.26</v>
      </c>
      <c r="E1438" s="5">
        <v>35.18</v>
      </c>
      <c r="F1438" s="5">
        <v>38.68</v>
      </c>
      <c r="G1438" s="5">
        <v>41.79</v>
      </c>
      <c r="H1438" s="5">
        <v>47.07</v>
      </c>
      <c r="I1438" s="5">
        <v>436.93</v>
      </c>
      <c r="J1438" s="5">
        <v>85.43</v>
      </c>
      <c r="K1438" s="5">
        <v>333.89</v>
      </c>
      <c r="L1438" s="5">
        <v>99.06</v>
      </c>
      <c r="M1438" s="5">
        <v>142.96</v>
      </c>
      <c r="N1438" s="5">
        <v>152.6</v>
      </c>
      <c r="O1438" s="5">
        <v>187.07</v>
      </c>
      <c r="P1438" s="5">
        <v>199.69</v>
      </c>
    </row>
    <row r="1439" spans="1:16" ht="15" customHeight="1" x14ac:dyDescent="0.3">
      <c r="A1439" s="1" t="s">
        <v>35</v>
      </c>
    </row>
    <row r="1442" spans="1:16" ht="15" customHeight="1" x14ac:dyDescent="0.3">
      <c r="A1442" s="7" t="s">
        <v>0</v>
      </c>
      <c r="B1442" s="7"/>
      <c r="C1442" s="7"/>
      <c r="D1442" s="7"/>
      <c r="E1442" s="7"/>
    </row>
    <row r="1443" spans="1:16" ht="15" customHeight="1" x14ac:dyDescent="0.35">
      <c r="A1443" s="8" t="s">
        <v>66</v>
      </c>
      <c r="B1443" s="8"/>
      <c r="C1443" s="8"/>
      <c r="D1443" s="8"/>
      <c r="E1443" s="8"/>
      <c r="F1443" s="8"/>
      <c r="G1443" s="8"/>
      <c r="H1443" s="7" t="s">
        <v>25</v>
      </c>
      <c r="I1443" s="7"/>
      <c r="J1443" s="7"/>
      <c r="K1443" s="7"/>
    </row>
    <row r="1447" spans="1:16" ht="15" customHeight="1" x14ac:dyDescent="0.3">
      <c r="A1447" s="1" t="s">
        <v>26</v>
      </c>
    </row>
    <row r="1448" spans="1:16" ht="15" customHeight="1" x14ac:dyDescent="0.3">
      <c r="A1448" s="1" t="s">
        <v>0</v>
      </c>
    </row>
    <row r="1450" spans="1:16" ht="15" customHeight="1" x14ac:dyDescent="0.3">
      <c r="A1450" s="1" t="s">
        <v>60</v>
      </c>
    </row>
    <row r="1451" spans="1:16" ht="15" customHeight="1" x14ac:dyDescent="0.3">
      <c r="A1451" s="1" t="s">
        <v>61</v>
      </c>
      <c r="B1451" s="1" t="s">
        <v>65</v>
      </c>
    </row>
    <row r="1452" spans="1:16" ht="15" customHeight="1" x14ac:dyDescent="0.3">
      <c r="A1452" s="1" t="s">
        <v>0</v>
      </c>
    </row>
    <row r="1453" spans="1:16" ht="15" customHeight="1" x14ac:dyDescent="0.35">
      <c r="A1453" s="2" t="s">
        <v>32</v>
      </c>
      <c r="B1453" s="8" t="s">
        <v>33</v>
      </c>
      <c r="C1453" s="8"/>
    </row>
    <row r="1454" spans="1:16" ht="15" customHeight="1" x14ac:dyDescent="0.35">
      <c r="A1454" s="2" t="s">
        <v>34</v>
      </c>
      <c r="B1454" s="2">
        <v>2</v>
      </c>
      <c r="C1454" s="2">
        <v>3</v>
      </c>
      <c r="D1454" s="2">
        <v>4</v>
      </c>
      <c r="E1454" s="2">
        <v>5</v>
      </c>
      <c r="F1454" s="2">
        <v>6</v>
      </c>
      <c r="G1454" s="2">
        <v>7</v>
      </c>
      <c r="H1454" s="2">
        <v>8</v>
      </c>
      <c r="I1454" s="2">
        <v>9</v>
      </c>
      <c r="J1454" s="2">
        <v>14</v>
      </c>
      <c r="K1454" s="2">
        <v>17</v>
      </c>
      <c r="L1454" s="2">
        <v>22</v>
      </c>
      <c r="M1454" s="2">
        <v>23</v>
      </c>
      <c r="N1454" s="2">
        <v>25</v>
      </c>
      <c r="O1454" s="2">
        <v>92</v>
      </c>
      <c r="P1454" s="2">
        <v>96</v>
      </c>
    </row>
    <row r="1455" spans="1:16" ht="15" customHeight="1" x14ac:dyDescent="0.3">
      <c r="A1455" s="1" t="s">
        <v>0</v>
      </c>
    </row>
    <row r="1456" spans="1:16" ht="15" customHeight="1" x14ac:dyDescent="0.35">
      <c r="A1456" s="1">
        <v>1</v>
      </c>
      <c r="B1456" s="4">
        <v>6.13</v>
      </c>
      <c r="C1456" s="4">
        <v>6.13</v>
      </c>
      <c r="D1456" s="4">
        <v>6.13</v>
      </c>
      <c r="E1456" s="4">
        <v>6.13</v>
      </c>
      <c r="F1456" s="4">
        <v>6.13</v>
      </c>
      <c r="G1456" s="4">
        <v>6.13</v>
      </c>
      <c r="H1456" s="4">
        <v>6.13</v>
      </c>
      <c r="I1456" s="4">
        <v>39.380000000000003</v>
      </c>
      <c r="J1456" s="4">
        <v>8.9600000000000009</v>
      </c>
      <c r="K1456" s="4">
        <v>39.380000000000003</v>
      </c>
      <c r="L1456" s="4">
        <v>9.19</v>
      </c>
      <c r="M1456" s="4">
        <v>13.71</v>
      </c>
      <c r="N1456" s="4">
        <v>14.15</v>
      </c>
      <c r="O1456" s="4">
        <v>13.71</v>
      </c>
      <c r="P1456" s="4">
        <v>14.15</v>
      </c>
    </row>
    <row r="1457" spans="1:16" ht="15" customHeight="1" x14ac:dyDescent="0.35">
      <c r="A1457" s="1">
        <v>2</v>
      </c>
      <c r="B1457" s="4">
        <v>6.13</v>
      </c>
      <c r="C1457" s="4">
        <v>6.13</v>
      </c>
      <c r="D1457" s="4">
        <v>6.13</v>
      </c>
      <c r="E1457" s="4">
        <v>6.13</v>
      </c>
      <c r="F1457" s="4">
        <v>6.13</v>
      </c>
      <c r="G1457" s="5">
        <v>6.29</v>
      </c>
      <c r="H1457" s="5">
        <v>6.4</v>
      </c>
      <c r="I1457" s="4">
        <v>39.380000000000003</v>
      </c>
      <c r="J1457" s="4">
        <v>8.9600000000000009</v>
      </c>
      <c r="K1457" s="4">
        <v>39.380000000000003</v>
      </c>
      <c r="L1457" s="4">
        <v>9.19</v>
      </c>
      <c r="M1457" s="4">
        <v>13.71</v>
      </c>
      <c r="N1457" s="4">
        <v>14.15</v>
      </c>
      <c r="O1457" s="4">
        <v>13.71</v>
      </c>
      <c r="P1457" s="4">
        <v>14.15</v>
      </c>
    </row>
    <row r="1458" spans="1:16" ht="15" customHeight="1" x14ac:dyDescent="0.35">
      <c r="A1458" s="1">
        <v>3</v>
      </c>
      <c r="B1458" s="4">
        <v>6.13</v>
      </c>
      <c r="C1458" s="4">
        <v>6.13</v>
      </c>
      <c r="D1458" s="4">
        <v>6.13</v>
      </c>
      <c r="E1458" s="5">
        <v>6.21</v>
      </c>
      <c r="F1458" s="5">
        <v>6.47</v>
      </c>
      <c r="G1458" s="5">
        <v>6.71</v>
      </c>
      <c r="H1458" s="5">
        <v>7.04</v>
      </c>
      <c r="I1458" s="4">
        <v>39.380000000000003</v>
      </c>
      <c r="J1458" s="4">
        <v>8.9600000000000009</v>
      </c>
      <c r="K1458" s="4">
        <v>39.380000000000003</v>
      </c>
      <c r="L1458" s="4">
        <v>9.19</v>
      </c>
      <c r="M1458" s="4">
        <v>13.71</v>
      </c>
      <c r="N1458" s="4">
        <v>14.15</v>
      </c>
      <c r="O1458" s="4">
        <v>13.71</v>
      </c>
      <c r="P1458" s="4">
        <v>14.15</v>
      </c>
    </row>
    <row r="1459" spans="1:16" ht="15" customHeight="1" x14ac:dyDescent="0.35">
      <c r="A1459" s="1">
        <v>4</v>
      </c>
      <c r="B1459" s="4">
        <v>6.13</v>
      </c>
      <c r="C1459" s="4">
        <v>6.13</v>
      </c>
      <c r="D1459" s="5">
        <v>6.15</v>
      </c>
      <c r="E1459" s="5">
        <v>6.56</v>
      </c>
      <c r="F1459" s="5">
        <v>6.74</v>
      </c>
      <c r="G1459" s="5">
        <v>7.2</v>
      </c>
      <c r="H1459" s="5">
        <v>7.54</v>
      </c>
      <c r="I1459" s="4">
        <v>39.380000000000003</v>
      </c>
      <c r="J1459" s="4">
        <v>8.9600000000000009</v>
      </c>
      <c r="K1459" s="4">
        <v>39.380000000000003</v>
      </c>
      <c r="L1459" s="4">
        <v>9.19</v>
      </c>
      <c r="M1459" s="4">
        <v>13.71</v>
      </c>
      <c r="N1459" s="4">
        <v>14.15</v>
      </c>
      <c r="O1459" s="5">
        <v>14.65</v>
      </c>
      <c r="P1459" s="5">
        <v>15.45</v>
      </c>
    </row>
    <row r="1460" spans="1:16" ht="15" customHeight="1" x14ac:dyDescent="0.35">
      <c r="A1460" s="1">
        <v>5</v>
      </c>
      <c r="B1460" s="4">
        <v>6.13</v>
      </c>
      <c r="C1460" s="4">
        <v>6.13</v>
      </c>
      <c r="D1460" s="5">
        <v>6.31</v>
      </c>
      <c r="E1460" s="5">
        <v>6.85</v>
      </c>
      <c r="F1460" s="5">
        <v>7.12</v>
      </c>
      <c r="G1460" s="5">
        <v>7.54</v>
      </c>
      <c r="H1460" s="5">
        <v>7.99</v>
      </c>
      <c r="I1460" s="5">
        <v>42.35</v>
      </c>
      <c r="J1460" s="4">
        <v>8.9600000000000009</v>
      </c>
      <c r="K1460" s="4">
        <v>39.380000000000003</v>
      </c>
      <c r="L1460" s="4">
        <v>9.19</v>
      </c>
      <c r="M1460" s="4">
        <v>13.71</v>
      </c>
      <c r="N1460" s="4">
        <v>14.15</v>
      </c>
      <c r="O1460" s="5">
        <v>16.670000000000002</v>
      </c>
      <c r="P1460" s="5">
        <v>17.559999999999999</v>
      </c>
    </row>
    <row r="1461" spans="1:16" ht="15" customHeight="1" x14ac:dyDescent="0.35">
      <c r="A1461" s="1">
        <v>6</v>
      </c>
      <c r="B1461" s="4">
        <v>6.13</v>
      </c>
      <c r="C1461" s="4">
        <v>6.13</v>
      </c>
      <c r="D1461" s="5">
        <v>6.37</v>
      </c>
      <c r="E1461" s="5">
        <v>6.88</v>
      </c>
      <c r="F1461" s="5">
        <v>7.13</v>
      </c>
      <c r="G1461" s="5">
        <v>7.54</v>
      </c>
      <c r="H1461" s="5">
        <v>7.99</v>
      </c>
      <c r="I1461" s="5">
        <v>45.71</v>
      </c>
      <c r="J1461" s="4">
        <v>8.9600000000000009</v>
      </c>
      <c r="K1461" s="4">
        <v>39.380000000000003</v>
      </c>
      <c r="L1461" s="4">
        <v>9.19</v>
      </c>
      <c r="M1461" s="5">
        <v>14.35</v>
      </c>
      <c r="N1461" s="5">
        <v>15.08</v>
      </c>
      <c r="O1461" s="5">
        <v>18.77</v>
      </c>
      <c r="P1461" s="5">
        <v>19.739999999999998</v>
      </c>
    </row>
    <row r="1462" spans="1:16" ht="15" customHeight="1" x14ac:dyDescent="0.35">
      <c r="A1462" s="1">
        <v>7</v>
      </c>
      <c r="B1462" s="4">
        <v>6.13</v>
      </c>
      <c r="C1462" s="4">
        <v>6.13</v>
      </c>
      <c r="D1462" s="5">
        <v>6.54</v>
      </c>
      <c r="E1462" s="5">
        <v>7.09</v>
      </c>
      <c r="F1462" s="5">
        <v>7.26</v>
      </c>
      <c r="G1462" s="5">
        <v>7.75</v>
      </c>
      <c r="H1462" s="5">
        <v>8.2899999999999991</v>
      </c>
      <c r="I1462" s="5">
        <v>48.8</v>
      </c>
      <c r="J1462" s="4">
        <v>8.9600000000000009</v>
      </c>
      <c r="K1462" s="4">
        <v>39.380000000000003</v>
      </c>
      <c r="L1462" s="4">
        <v>9.19</v>
      </c>
      <c r="M1462" s="5">
        <v>15.89</v>
      </c>
      <c r="N1462" s="5">
        <v>16.73</v>
      </c>
      <c r="O1462" s="5">
        <v>20.8</v>
      </c>
      <c r="P1462" s="5">
        <v>21.89</v>
      </c>
    </row>
    <row r="1463" spans="1:16" ht="15" customHeight="1" x14ac:dyDescent="0.35">
      <c r="A1463" s="1">
        <v>8</v>
      </c>
      <c r="B1463" s="4">
        <v>6.13</v>
      </c>
      <c r="C1463" s="4">
        <v>6.13</v>
      </c>
      <c r="D1463" s="5">
        <v>6.76</v>
      </c>
      <c r="E1463" s="5">
        <v>7.3</v>
      </c>
      <c r="F1463" s="5">
        <v>7.55</v>
      </c>
      <c r="G1463" s="5">
        <v>8.06</v>
      </c>
      <c r="H1463" s="5">
        <v>8.65</v>
      </c>
      <c r="I1463" s="5">
        <v>50.71</v>
      </c>
      <c r="J1463" s="4">
        <v>8.9600000000000009</v>
      </c>
      <c r="K1463" s="4">
        <v>39.380000000000003</v>
      </c>
      <c r="L1463" s="4">
        <v>9.19</v>
      </c>
      <c r="M1463" s="5">
        <v>17.46</v>
      </c>
      <c r="N1463" s="5">
        <v>18.43</v>
      </c>
      <c r="O1463" s="5">
        <v>22.85</v>
      </c>
      <c r="P1463" s="5">
        <v>24.11</v>
      </c>
    </row>
    <row r="1464" spans="1:16" ht="15" customHeight="1" x14ac:dyDescent="0.35">
      <c r="A1464" s="1">
        <v>9</v>
      </c>
      <c r="B1464" s="4">
        <v>6.13</v>
      </c>
      <c r="C1464" s="5">
        <v>6.21</v>
      </c>
      <c r="D1464" s="5">
        <v>6.79</v>
      </c>
      <c r="E1464" s="5">
        <v>7.36</v>
      </c>
      <c r="F1464" s="5">
        <v>7.71</v>
      </c>
      <c r="G1464" s="5">
        <v>8.39</v>
      </c>
      <c r="H1464" s="5">
        <v>9.11</v>
      </c>
      <c r="I1464" s="5">
        <v>54.28</v>
      </c>
      <c r="J1464" s="4">
        <v>8.9600000000000009</v>
      </c>
      <c r="K1464" s="5">
        <v>41.48</v>
      </c>
      <c r="L1464" s="4">
        <v>9.19</v>
      </c>
      <c r="M1464" s="5">
        <v>19.010000000000002</v>
      </c>
      <c r="N1464" s="5">
        <v>20.100000000000001</v>
      </c>
      <c r="O1464" s="5">
        <v>24.88</v>
      </c>
      <c r="P1464" s="5">
        <v>26.3</v>
      </c>
    </row>
    <row r="1465" spans="1:16" ht="15" customHeight="1" x14ac:dyDescent="0.35">
      <c r="A1465" s="1">
        <v>10</v>
      </c>
      <c r="B1465" s="4">
        <v>6.13</v>
      </c>
      <c r="C1465" s="5">
        <v>6.28</v>
      </c>
      <c r="D1465" s="5">
        <v>6.86</v>
      </c>
      <c r="E1465" s="5">
        <v>7.56</v>
      </c>
      <c r="F1465" s="5">
        <v>7.8</v>
      </c>
      <c r="G1465" s="5">
        <v>8.7899999999999991</v>
      </c>
      <c r="H1465" s="5">
        <v>9.7100000000000009</v>
      </c>
      <c r="I1465" s="5">
        <v>57.67</v>
      </c>
      <c r="J1465" s="4">
        <v>8.9600000000000009</v>
      </c>
      <c r="K1465" s="5">
        <v>44.07</v>
      </c>
      <c r="L1465" s="4">
        <v>9.19</v>
      </c>
      <c r="M1465" s="5">
        <v>20.56</v>
      </c>
      <c r="N1465" s="5">
        <v>21.8</v>
      </c>
      <c r="O1465" s="5">
        <v>26.9</v>
      </c>
      <c r="P1465" s="5">
        <v>28.53</v>
      </c>
    </row>
    <row r="1466" spans="1:16" ht="15" customHeight="1" x14ac:dyDescent="0.35">
      <c r="A1466" s="1">
        <v>11</v>
      </c>
      <c r="B1466" s="4">
        <v>6.13</v>
      </c>
      <c r="C1466" s="4">
        <v>6.13</v>
      </c>
      <c r="D1466" s="5">
        <v>6.54</v>
      </c>
      <c r="E1466" s="5">
        <v>7.1</v>
      </c>
      <c r="F1466" s="5">
        <v>7.53</v>
      </c>
      <c r="G1466" s="5">
        <v>8.8800000000000008</v>
      </c>
      <c r="H1466" s="5">
        <v>9.64</v>
      </c>
      <c r="I1466" s="5">
        <v>61.19</v>
      </c>
      <c r="J1466" s="4">
        <v>8.9600000000000009</v>
      </c>
      <c r="K1466" s="5">
        <v>46.76</v>
      </c>
      <c r="L1466" s="4">
        <v>9.19</v>
      </c>
      <c r="M1466" s="5">
        <v>22.28</v>
      </c>
      <c r="N1466" s="5">
        <v>23.63</v>
      </c>
      <c r="O1466" s="5">
        <v>29.15</v>
      </c>
      <c r="P1466" s="5">
        <v>30.93</v>
      </c>
    </row>
    <row r="1467" spans="1:16" ht="15" customHeight="1" x14ac:dyDescent="0.35">
      <c r="A1467" s="1">
        <v>12</v>
      </c>
      <c r="B1467" s="4">
        <v>6.13</v>
      </c>
      <c r="C1467" s="5">
        <v>6.21</v>
      </c>
      <c r="D1467" s="5">
        <v>6.61</v>
      </c>
      <c r="E1467" s="5">
        <v>7.2</v>
      </c>
      <c r="F1467" s="5">
        <v>7.79</v>
      </c>
      <c r="G1467" s="5">
        <v>9.23</v>
      </c>
      <c r="H1467" s="5">
        <v>10.09</v>
      </c>
      <c r="I1467" s="5">
        <v>63.81</v>
      </c>
      <c r="J1467" s="4">
        <v>8.9600000000000009</v>
      </c>
      <c r="K1467" s="5">
        <v>48.77</v>
      </c>
      <c r="L1467" s="4">
        <v>9.19</v>
      </c>
      <c r="M1467" s="5">
        <v>23.79</v>
      </c>
      <c r="N1467" s="5">
        <v>25.26</v>
      </c>
      <c r="O1467" s="5">
        <v>31.13</v>
      </c>
      <c r="P1467" s="5">
        <v>33.049999999999997</v>
      </c>
    </row>
    <row r="1468" spans="1:16" ht="15" customHeight="1" x14ac:dyDescent="0.35">
      <c r="A1468" s="1">
        <v>13</v>
      </c>
      <c r="B1468" s="4">
        <v>6.13</v>
      </c>
      <c r="C1468" s="5">
        <v>6.24</v>
      </c>
      <c r="D1468" s="5">
        <v>6.68</v>
      </c>
      <c r="E1468" s="5">
        <v>7.33</v>
      </c>
      <c r="F1468" s="5">
        <v>8.0299999999999994</v>
      </c>
      <c r="G1468" s="5">
        <v>9.8000000000000007</v>
      </c>
      <c r="H1468" s="5">
        <v>10.55</v>
      </c>
      <c r="I1468" s="5">
        <v>66.459999999999994</v>
      </c>
      <c r="J1468" s="4">
        <v>8.9600000000000009</v>
      </c>
      <c r="K1468" s="5">
        <v>50.79</v>
      </c>
      <c r="L1468" s="5">
        <v>9.4700000000000006</v>
      </c>
      <c r="M1468" s="5">
        <v>25.2</v>
      </c>
      <c r="N1468" s="5">
        <v>26.81</v>
      </c>
      <c r="O1468" s="5">
        <v>32.979999999999997</v>
      </c>
      <c r="P1468" s="5">
        <v>35.090000000000003</v>
      </c>
    </row>
    <row r="1469" spans="1:16" ht="15" customHeight="1" x14ac:dyDescent="0.35">
      <c r="A1469" s="1">
        <v>14</v>
      </c>
      <c r="B1469" s="4">
        <v>6.13</v>
      </c>
      <c r="C1469" s="5">
        <v>6.41</v>
      </c>
      <c r="D1469" s="5">
        <v>6.75</v>
      </c>
      <c r="E1469" s="5">
        <v>7.51</v>
      </c>
      <c r="F1469" s="5">
        <v>8.5</v>
      </c>
      <c r="G1469" s="5">
        <v>10.5</v>
      </c>
      <c r="H1469" s="5">
        <v>11.47</v>
      </c>
      <c r="I1469" s="5">
        <v>69.209999999999994</v>
      </c>
      <c r="J1469" s="4">
        <v>8.9600000000000009</v>
      </c>
      <c r="K1469" s="5">
        <v>52.89</v>
      </c>
      <c r="L1469" s="5">
        <v>9.7799999999999994</v>
      </c>
      <c r="M1469" s="5">
        <v>26.5</v>
      </c>
      <c r="N1469" s="5">
        <v>28.37</v>
      </c>
      <c r="O1469" s="5">
        <v>34.68</v>
      </c>
      <c r="P1469" s="5">
        <v>37.130000000000003</v>
      </c>
    </row>
    <row r="1470" spans="1:16" ht="15" customHeight="1" x14ac:dyDescent="0.35">
      <c r="A1470" s="1">
        <v>15</v>
      </c>
      <c r="B1470" s="4">
        <v>6.13</v>
      </c>
      <c r="C1470" s="5">
        <v>6.55</v>
      </c>
      <c r="D1470" s="5">
        <v>6.84</v>
      </c>
      <c r="E1470" s="5">
        <v>7.78</v>
      </c>
      <c r="F1470" s="5">
        <v>8.9700000000000006</v>
      </c>
      <c r="G1470" s="5">
        <v>10.83</v>
      </c>
      <c r="H1470" s="5">
        <v>11.94</v>
      </c>
      <c r="I1470" s="5">
        <v>71.760000000000005</v>
      </c>
      <c r="J1470" s="4">
        <v>8.9600000000000009</v>
      </c>
      <c r="K1470" s="5">
        <v>54.84</v>
      </c>
      <c r="L1470" s="5">
        <v>10.08</v>
      </c>
      <c r="M1470" s="5">
        <v>27.84</v>
      </c>
      <c r="N1470" s="5">
        <v>29.92</v>
      </c>
      <c r="O1470" s="5">
        <v>36.43</v>
      </c>
      <c r="P1470" s="5">
        <v>39.15</v>
      </c>
    </row>
    <row r="1471" spans="1:16" ht="15" customHeight="1" x14ac:dyDescent="0.35">
      <c r="A1471" s="1">
        <v>16</v>
      </c>
      <c r="B1471" s="5">
        <v>6.23</v>
      </c>
      <c r="C1471" s="5">
        <v>6.74</v>
      </c>
      <c r="D1471" s="5">
        <v>6.97</v>
      </c>
      <c r="E1471" s="5">
        <v>7.91</v>
      </c>
      <c r="F1471" s="5">
        <v>9.26</v>
      </c>
      <c r="G1471" s="5">
        <v>11.4</v>
      </c>
      <c r="H1471" s="5">
        <v>12.54</v>
      </c>
      <c r="I1471" s="5">
        <v>74.97</v>
      </c>
      <c r="J1471" s="4">
        <v>8.9600000000000009</v>
      </c>
      <c r="K1471" s="5">
        <v>57.29</v>
      </c>
      <c r="L1471" s="5">
        <v>10.32</v>
      </c>
      <c r="M1471" s="5">
        <v>29.08</v>
      </c>
      <c r="N1471" s="5">
        <v>31.33</v>
      </c>
      <c r="O1471" s="5">
        <v>38.049999999999997</v>
      </c>
      <c r="P1471" s="5">
        <v>41</v>
      </c>
    </row>
    <row r="1472" spans="1:16" ht="15" customHeight="1" x14ac:dyDescent="0.35">
      <c r="A1472" s="1">
        <v>17</v>
      </c>
      <c r="B1472" s="5">
        <v>6.27</v>
      </c>
      <c r="C1472" s="5">
        <v>6.88</v>
      </c>
      <c r="D1472" s="5">
        <v>7.05</v>
      </c>
      <c r="E1472" s="5">
        <v>8.14</v>
      </c>
      <c r="F1472" s="5">
        <v>9.66</v>
      </c>
      <c r="G1472" s="5">
        <v>11.98</v>
      </c>
      <c r="H1472" s="5">
        <v>12.54</v>
      </c>
      <c r="I1472" s="5">
        <v>78.17</v>
      </c>
      <c r="J1472" s="4">
        <v>8.9600000000000009</v>
      </c>
      <c r="K1472" s="5">
        <v>59.73</v>
      </c>
      <c r="L1472" s="5">
        <v>10.64</v>
      </c>
      <c r="M1472" s="5">
        <v>30.47</v>
      </c>
      <c r="N1472" s="5">
        <v>32.96</v>
      </c>
      <c r="O1472" s="5">
        <v>39.869999999999997</v>
      </c>
      <c r="P1472" s="5">
        <v>43.13</v>
      </c>
    </row>
    <row r="1473" spans="1:16" ht="15" customHeight="1" x14ac:dyDescent="0.35">
      <c r="A1473" s="1">
        <v>18</v>
      </c>
      <c r="B1473" s="5">
        <v>6.34</v>
      </c>
      <c r="C1473" s="5">
        <v>6.97</v>
      </c>
      <c r="D1473" s="5">
        <v>7.12</v>
      </c>
      <c r="E1473" s="5">
        <v>8.5299999999999994</v>
      </c>
      <c r="F1473" s="5">
        <v>10.16</v>
      </c>
      <c r="G1473" s="5">
        <v>12.34</v>
      </c>
      <c r="H1473" s="5">
        <v>13.52</v>
      </c>
      <c r="I1473" s="5">
        <v>81.400000000000006</v>
      </c>
      <c r="J1473" s="4">
        <v>8.9600000000000009</v>
      </c>
      <c r="K1473" s="5">
        <v>62.2</v>
      </c>
      <c r="L1473" s="5">
        <v>10.94</v>
      </c>
      <c r="M1473" s="5">
        <v>31.89</v>
      </c>
      <c r="N1473" s="5">
        <v>34.590000000000003</v>
      </c>
      <c r="O1473" s="5">
        <v>41.73</v>
      </c>
      <c r="P1473" s="5">
        <v>45.26</v>
      </c>
    </row>
    <row r="1474" spans="1:16" ht="15" customHeight="1" x14ac:dyDescent="0.35">
      <c r="A1474" s="1">
        <v>19</v>
      </c>
      <c r="B1474" s="5">
        <v>6.51</v>
      </c>
      <c r="C1474" s="5">
        <v>7.31</v>
      </c>
      <c r="D1474" s="5">
        <v>7.51</v>
      </c>
      <c r="E1474" s="5">
        <v>8.93</v>
      </c>
      <c r="F1474" s="5">
        <v>10.46</v>
      </c>
      <c r="G1474" s="5">
        <v>12.71</v>
      </c>
      <c r="H1474" s="5">
        <v>14.17</v>
      </c>
      <c r="I1474" s="5">
        <v>84.61</v>
      </c>
      <c r="J1474" s="4">
        <v>8.9600000000000009</v>
      </c>
      <c r="K1474" s="5">
        <v>64.66</v>
      </c>
      <c r="L1474" s="5">
        <v>11.28</v>
      </c>
      <c r="M1474" s="5">
        <v>33.26</v>
      </c>
      <c r="N1474" s="5">
        <v>36.21</v>
      </c>
      <c r="O1474" s="5">
        <v>43.53</v>
      </c>
      <c r="P1474" s="5">
        <v>47.38</v>
      </c>
    </row>
    <row r="1475" spans="1:16" ht="15" customHeight="1" x14ac:dyDescent="0.35">
      <c r="A1475" s="1">
        <v>20</v>
      </c>
      <c r="B1475" s="5">
        <v>6.56</v>
      </c>
      <c r="C1475" s="5">
        <v>7.37</v>
      </c>
      <c r="D1475" s="5">
        <v>7.55</v>
      </c>
      <c r="E1475" s="5">
        <v>9.2799999999999994</v>
      </c>
      <c r="F1475" s="5">
        <v>10.81</v>
      </c>
      <c r="G1475" s="5">
        <v>13.18</v>
      </c>
      <c r="H1475" s="5">
        <v>14.68</v>
      </c>
      <c r="I1475" s="5">
        <v>87.44</v>
      </c>
      <c r="J1475" s="4">
        <v>8.9600000000000009</v>
      </c>
      <c r="K1475" s="5">
        <v>66.819999999999993</v>
      </c>
      <c r="L1475" s="5">
        <v>11.57</v>
      </c>
      <c r="M1475" s="5">
        <v>34.6</v>
      </c>
      <c r="N1475" s="5">
        <v>37.85</v>
      </c>
      <c r="O1475" s="5">
        <v>45.28</v>
      </c>
      <c r="P1475" s="5">
        <v>49.53</v>
      </c>
    </row>
    <row r="1476" spans="1:16" ht="15" customHeight="1" x14ac:dyDescent="0.35">
      <c r="A1476" s="1">
        <v>21</v>
      </c>
      <c r="B1476" s="4">
        <v>6.13</v>
      </c>
      <c r="C1476" s="5">
        <v>6.6</v>
      </c>
      <c r="D1476" s="5">
        <v>6.84</v>
      </c>
      <c r="E1476" s="5">
        <v>8.09</v>
      </c>
      <c r="F1476" s="5">
        <v>9.6</v>
      </c>
      <c r="G1476" s="5">
        <v>11.67</v>
      </c>
      <c r="H1476" s="5">
        <v>13.03</v>
      </c>
      <c r="I1476" s="5">
        <v>89.44</v>
      </c>
      <c r="J1476" s="4">
        <v>8.9600000000000009</v>
      </c>
      <c r="K1476" s="5">
        <v>68.349999999999994</v>
      </c>
      <c r="L1476" s="5">
        <v>11.93</v>
      </c>
      <c r="M1476" s="5">
        <v>35.81</v>
      </c>
      <c r="N1476" s="5">
        <v>39.479999999999997</v>
      </c>
      <c r="O1476" s="5">
        <v>46.87</v>
      </c>
      <c r="P1476" s="5">
        <v>51.66</v>
      </c>
    </row>
    <row r="1477" spans="1:16" ht="15" customHeight="1" x14ac:dyDescent="0.35">
      <c r="A1477" s="1">
        <v>22</v>
      </c>
      <c r="B1477" s="4">
        <v>6.13</v>
      </c>
      <c r="C1477" s="5">
        <v>6.66</v>
      </c>
      <c r="D1477" s="5">
        <v>7.03</v>
      </c>
      <c r="E1477" s="5">
        <v>8.31</v>
      </c>
      <c r="F1477" s="5">
        <v>9.99</v>
      </c>
      <c r="G1477" s="5">
        <v>12.1</v>
      </c>
      <c r="H1477" s="5">
        <v>13.61</v>
      </c>
      <c r="I1477" s="5">
        <v>92.24</v>
      </c>
      <c r="J1477" s="4">
        <v>8.9600000000000009</v>
      </c>
      <c r="K1477" s="5">
        <v>70.489999999999995</v>
      </c>
      <c r="L1477" s="5">
        <v>12.2</v>
      </c>
      <c r="M1477" s="5">
        <v>36.99</v>
      </c>
      <c r="N1477" s="5">
        <v>41.04</v>
      </c>
      <c r="O1477" s="5">
        <v>48.4</v>
      </c>
      <c r="P1477" s="5">
        <v>53.7</v>
      </c>
    </row>
    <row r="1478" spans="1:16" ht="15" customHeight="1" x14ac:dyDescent="0.35">
      <c r="A1478" s="1">
        <v>23</v>
      </c>
      <c r="B1478" s="4">
        <v>6.13</v>
      </c>
      <c r="C1478" s="5">
        <v>6.79</v>
      </c>
      <c r="D1478" s="5">
        <v>7.18</v>
      </c>
      <c r="E1478" s="5">
        <v>8.4700000000000006</v>
      </c>
      <c r="F1478" s="5">
        <v>10.37</v>
      </c>
      <c r="G1478" s="5">
        <v>12.39</v>
      </c>
      <c r="H1478" s="5">
        <v>14.14</v>
      </c>
      <c r="I1478" s="5">
        <v>95.02</v>
      </c>
      <c r="J1478" s="4">
        <v>8.9600000000000009</v>
      </c>
      <c r="K1478" s="5">
        <v>72.61</v>
      </c>
      <c r="L1478" s="5">
        <v>12.52</v>
      </c>
      <c r="M1478" s="5">
        <v>38.15</v>
      </c>
      <c r="N1478" s="5">
        <v>42.58</v>
      </c>
      <c r="O1478" s="5">
        <v>49.92</v>
      </c>
      <c r="P1478" s="5">
        <v>55.72</v>
      </c>
    </row>
    <row r="1479" spans="1:16" ht="15" customHeight="1" x14ac:dyDescent="0.35">
      <c r="A1479" s="1">
        <v>24</v>
      </c>
      <c r="B1479" s="4">
        <v>6.13</v>
      </c>
      <c r="C1479" s="5">
        <v>7.06</v>
      </c>
      <c r="D1479" s="5">
        <v>7.55</v>
      </c>
      <c r="E1479" s="5">
        <v>8.92</v>
      </c>
      <c r="F1479" s="5">
        <v>10.87</v>
      </c>
      <c r="G1479" s="5">
        <v>12.81</v>
      </c>
      <c r="H1479" s="5">
        <v>14.95</v>
      </c>
      <c r="I1479" s="5">
        <v>98.14</v>
      </c>
      <c r="J1479" s="4">
        <v>8.9600000000000009</v>
      </c>
      <c r="K1479" s="5">
        <v>75</v>
      </c>
      <c r="L1479" s="5">
        <v>12.84</v>
      </c>
      <c r="M1479" s="5">
        <v>39.29</v>
      </c>
      <c r="N1479" s="5">
        <v>44.13</v>
      </c>
      <c r="O1479" s="5">
        <v>51.41</v>
      </c>
      <c r="P1479" s="5">
        <v>57.75</v>
      </c>
    </row>
    <row r="1480" spans="1:16" ht="15" customHeight="1" x14ac:dyDescent="0.35">
      <c r="A1480" s="1">
        <v>25</v>
      </c>
      <c r="B1480" s="4">
        <v>6.13</v>
      </c>
      <c r="C1480" s="5">
        <v>7.09</v>
      </c>
      <c r="D1480" s="5">
        <v>7.59</v>
      </c>
      <c r="E1480" s="5">
        <v>9.09</v>
      </c>
      <c r="F1480" s="5">
        <v>11.18</v>
      </c>
      <c r="G1480" s="5">
        <v>13.51</v>
      </c>
      <c r="H1480" s="5">
        <v>15.41</v>
      </c>
      <c r="I1480" s="5">
        <v>101.18</v>
      </c>
      <c r="J1480" s="4">
        <v>8.9600000000000009</v>
      </c>
      <c r="K1480" s="5">
        <v>77.319999999999993</v>
      </c>
      <c r="L1480" s="5">
        <v>13.2</v>
      </c>
      <c r="M1480" s="5">
        <v>40.549999999999997</v>
      </c>
      <c r="N1480" s="5">
        <v>45.65</v>
      </c>
      <c r="O1480" s="5">
        <v>53.07</v>
      </c>
      <c r="P1480" s="5">
        <v>59.74</v>
      </c>
    </row>
    <row r="1481" spans="1:16" ht="15" customHeight="1" x14ac:dyDescent="0.35">
      <c r="A1481" s="1">
        <v>26</v>
      </c>
      <c r="B1481" s="4">
        <v>6.13</v>
      </c>
      <c r="C1481" s="5">
        <v>6.15</v>
      </c>
      <c r="D1481" s="5">
        <v>6.63</v>
      </c>
      <c r="E1481" s="5">
        <v>7.94</v>
      </c>
      <c r="F1481" s="5">
        <v>9.7200000000000006</v>
      </c>
      <c r="G1481" s="5">
        <v>11.8</v>
      </c>
      <c r="H1481" s="5">
        <v>13.46</v>
      </c>
      <c r="I1481" s="5">
        <v>104.38</v>
      </c>
      <c r="J1481" s="4">
        <v>8.9600000000000009</v>
      </c>
      <c r="K1481" s="5">
        <v>79.760000000000005</v>
      </c>
      <c r="L1481" s="5">
        <v>13.55</v>
      </c>
      <c r="M1481" s="5">
        <v>41.8</v>
      </c>
      <c r="N1481" s="5">
        <v>47.14</v>
      </c>
      <c r="O1481" s="5">
        <v>54.69</v>
      </c>
      <c r="P1481" s="5">
        <v>61.69</v>
      </c>
    </row>
    <row r="1482" spans="1:16" ht="15" customHeight="1" x14ac:dyDescent="0.35">
      <c r="A1482" s="1">
        <v>27</v>
      </c>
      <c r="B1482" s="4">
        <v>6.13</v>
      </c>
      <c r="C1482" s="5">
        <v>6.3</v>
      </c>
      <c r="D1482" s="5">
        <v>6.77</v>
      </c>
      <c r="E1482" s="5">
        <v>8.07</v>
      </c>
      <c r="F1482" s="5">
        <v>10.11</v>
      </c>
      <c r="G1482" s="5">
        <v>12.01</v>
      </c>
      <c r="H1482" s="5">
        <v>13.69</v>
      </c>
      <c r="I1482" s="5">
        <v>107.28</v>
      </c>
      <c r="J1482" s="4">
        <v>8.9600000000000009</v>
      </c>
      <c r="K1482" s="5">
        <v>81.98</v>
      </c>
      <c r="L1482" s="5">
        <v>13.89</v>
      </c>
      <c r="M1482" s="5">
        <v>43</v>
      </c>
      <c r="N1482" s="5">
        <v>48.61</v>
      </c>
      <c r="O1482" s="5">
        <v>56.27</v>
      </c>
      <c r="P1482" s="5">
        <v>63.61</v>
      </c>
    </row>
    <row r="1483" spans="1:16" ht="15" customHeight="1" x14ac:dyDescent="0.35">
      <c r="A1483" s="1">
        <v>28</v>
      </c>
      <c r="B1483" s="4">
        <v>6.13</v>
      </c>
      <c r="C1483" s="5">
        <v>6.45</v>
      </c>
      <c r="D1483" s="5">
        <v>7.08</v>
      </c>
      <c r="E1483" s="5">
        <v>8.5399999999999991</v>
      </c>
      <c r="F1483" s="5">
        <v>10.61</v>
      </c>
      <c r="G1483" s="5">
        <v>12.55</v>
      </c>
      <c r="H1483" s="5">
        <v>14.21</v>
      </c>
      <c r="I1483" s="5">
        <v>110.16</v>
      </c>
      <c r="J1483" s="4">
        <v>8.9600000000000009</v>
      </c>
      <c r="K1483" s="5">
        <v>84.18</v>
      </c>
      <c r="L1483" s="5">
        <v>14.21</v>
      </c>
      <c r="M1483" s="5">
        <v>44.24</v>
      </c>
      <c r="N1483" s="5">
        <v>50.09</v>
      </c>
      <c r="O1483" s="5">
        <v>57.9</v>
      </c>
      <c r="P1483" s="5">
        <v>65.540000000000006</v>
      </c>
    </row>
    <row r="1484" spans="1:16" ht="15" customHeight="1" x14ac:dyDescent="0.35">
      <c r="A1484" s="1">
        <v>29</v>
      </c>
      <c r="B1484" s="4">
        <v>6.13</v>
      </c>
      <c r="C1484" s="5">
        <v>6.57</v>
      </c>
      <c r="D1484" s="5">
        <v>7.14</v>
      </c>
      <c r="E1484" s="5">
        <v>8.5399999999999991</v>
      </c>
      <c r="F1484" s="5">
        <v>10.91</v>
      </c>
      <c r="G1484" s="5">
        <v>12.84</v>
      </c>
      <c r="H1484" s="5">
        <v>14.59</v>
      </c>
      <c r="I1484" s="5">
        <v>112.87</v>
      </c>
      <c r="J1484" s="5">
        <v>9.06</v>
      </c>
      <c r="K1484" s="5">
        <v>86.25</v>
      </c>
      <c r="L1484" s="5">
        <v>14.56</v>
      </c>
      <c r="M1484" s="5">
        <v>45.5</v>
      </c>
      <c r="N1484" s="5">
        <v>51.51</v>
      </c>
      <c r="O1484" s="5">
        <v>59.55</v>
      </c>
      <c r="P1484" s="5">
        <v>67.41</v>
      </c>
    </row>
    <row r="1485" spans="1:16" ht="15" customHeight="1" x14ac:dyDescent="0.35">
      <c r="A1485" s="1">
        <v>30</v>
      </c>
      <c r="B1485" s="4">
        <v>6.13</v>
      </c>
      <c r="C1485" s="5">
        <v>6.73</v>
      </c>
      <c r="D1485" s="5">
        <v>7.41</v>
      </c>
      <c r="E1485" s="5">
        <v>8.8800000000000008</v>
      </c>
      <c r="F1485" s="5">
        <v>11.08</v>
      </c>
      <c r="G1485" s="5">
        <v>12.9</v>
      </c>
      <c r="H1485" s="5">
        <v>15.2</v>
      </c>
      <c r="I1485" s="5">
        <v>115.57</v>
      </c>
      <c r="J1485" s="5">
        <v>9.1</v>
      </c>
      <c r="K1485" s="5">
        <v>88.32</v>
      </c>
      <c r="L1485" s="5">
        <v>14.85</v>
      </c>
      <c r="M1485" s="5">
        <v>46.74</v>
      </c>
      <c r="N1485" s="5">
        <v>53</v>
      </c>
      <c r="O1485" s="5">
        <v>61.16</v>
      </c>
      <c r="P1485" s="5">
        <v>69.349999999999994</v>
      </c>
    </row>
    <row r="1486" spans="1:16" ht="15" customHeight="1" x14ac:dyDescent="0.35">
      <c r="A1486" s="1">
        <v>31</v>
      </c>
      <c r="B1486" s="4">
        <v>6.13</v>
      </c>
      <c r="C1486" s="5">
        <v>6.88</v>
      </c>
      <c r="D1486" s="5">
        <v>7.56</v>
      </c>
      <c r="E1486" s="5">
        <v>8.99</v>
      </c>
      <c r="F1486" s="5">
        <v>11.41</v>
      </c>
      <c r="G1486" s="5">
        <v>13.38</v>
      </c>
      <c r="H1486" s="5">
        <v>15.68</v>
      </c>
      <c r="I1486" s="5">
        <v>115.58</v>
      </c>
      <c r="J1486" s="5">
        <v>9.2200000000000006</v>
      </c>
      <c r="K1486" s="5">
        <v>88.33</v>
      </c>
      <c r="L1486" s="5">
        <v>15.17</v>
      </c>
      <c r="M1486" s="5">
        <v>47.99</v>
      </c>
      <c r="N1486" s="5">
        <v>54.4</v>
      </c>
      <c r="O1486" s="5">
        <v>62.8</v>
      </c>
      <c r="P1486" s="5">
        <v>71.19</v>
      </c>
    </row>
    <row r="1487" spans="1:16" ht="15" customHeight="1" x14ac:dyDescent="0.35">
      <c r="A1487" s="1">
        <v>32</v>
      </c>
      <c r="B1487" s="4">
        <v>6.13</v>
      </c>
      <c r="C1487" s="5">
        <v>6.88</v>
      </c>
      <c r="D1487" s="5">
        <v>7.57</v>
      </c>
      <c r="E1487" s="5">
        <v>9</v>
      </c>
      <c r="F1487" s="5">
        <v>11.41</v>
      </c>
      <c r="G1487" s="5">
        <v>13.38</v>
      </c>
      <c r="H1487" s="5">
        <v>15.85</v>
      </c>
      <c r="I1487" s="5">
        <v>115.98</v>
      </c>
      <c r="J1487" s="5">
        <v>9.2899999999999991</v>
      </c>
      <c r="K1487" s="5">
        <v>88.63</v>
      </c>
      <c r="L1487" s="5">
        <v>15.41</v>
      </c>
      <c r="M1487" s="5">
        <v>49.13</v>
      </c>
      <c r="N1487" s="5">
        <v>55.7</v>
      </c>
      <c r="O1487" s="5">
        <v>64.3</v>
      </c>
      <c r="P1487" s="5">
        <v>72.89</v>
      </c>
    </row>
    <row r="1488" spans="1:16" ht="15" customHeight="1" x14ac:dyDescent="0.35">
      <c r="A1488" s="1">
        <v>33</v>
      </c>
      <c r="B1488" s="4">
        <v>6.13</v>
      </c>
      <c r="C1488" s="5">
        <v>6.98</v>
      </c>
      <c r="D1488" s="5">
        <v>7.91</v>
      </c>
      <c r="E1488" s="5">
        <v>9.42</v>
      </c>
      <c r="F1488" s="5">
        <v>12.13</v>
      </c>
      <c r="G1488" s="5">
        <v>13.83</v>
      </c>
      <c r="H1488" s="5">
        <v>16.28</v>
      </c>
      <c r="I1488" s="5">
        <v>118.41</v>
      </c>
      <c r="J1488" s="5">
        <v>9.35</v>
      </c>
      <c r="K1488" s="5">
        <v>90.49</v>
      </c>
      <c r="L1488" s="5">
        <v>15.65</v>
      </c>
      <c r="M1488" s="5">
        <v>50.27</v>
      </c>
      <c r="N1488" s="5">
        <v>56.89</v>
      </c>
      <c r="O1488" s="5">
        <v>65.78</v>
      </c>
      <c r="P1488" s="5">
        <v>74.45</v>
      </c>
    </row>
    <row r="1489" spans="1:16" ht="15" customHeight="1" x14ac:dyDescent="0.35">
      <c r="A1489" s="1">
        <v>34</v>
      </c>
      <c r="B1489" s="4">
        <v>6.13</v>
      </c>
      <c r="C1489" s="5">
        <v>7.14</v>
      </c>
      <c r="D1489" s="5">
        <v>8.16</v>
      </c>
      <c r="E1489" s="5">
        <v>9.75</v>
      </c>
      <c r="F1489" s="5">
        <v>12.13</v>
      </c>
      <c r="G1489" s="5">
        <v>14.24</v>
      </c>
      <c r="H1489" s="5">
        <v>17.059999999999999</v>
      </c>
      <c r="I1489" s="5">
        <v>121.07</v>
      </c>
      <c r="J1489" s="5">
        <v>9.49</v>
      </c>
      <c r="K1489" s="5">
        <v>92.52</v>
      </c>
      <c r="L1489" s="5">
        <v>15.96</v>
      </c>
      <c r="M1489" s="5">
        <v>51.38</v>
      </c>
      <c r="N1489" s="5">
        <v>58.03</v>
      </c>
      <c r="O1489" s="5">
        <v>67.23</v>
      </c>
      <c r="P1489" s="5">
        <v>75.930000000000007</v>
      </c>
    </row>
    <row r="1490" spans="1:16" ht="15" customHeight="1" x14ac:dyDescent="0.35">
      <c r="A1490" s="1">
        <v>35</v>
      </c>
      <c r="B1490" s="4">
        <v>6.13</v>
      </c>
      <c r="C1490" s="5">
        <v>7.52</v>
      </c>
      <c r="D1490" s="5">
        <v>8.43</v>
      </c>
      <c r="E1490" s="5">
        <v>9.98</v>
      </c>
      <c r="F1490" s="5">
        <v>12.34</v>
      </c>
      <c r="G1490" s="5">
        <v>14.61</v>
      </c>
      <c r="H1490" s="5">
        <v>17.190000000000001</v>
      </c>
      <c r="I1490" s="5">
        <v>124.07</v>
      </c>
      <c r="J1490" s="5">
        <v>9.57</v>
      </c>
      <c r="K1490" s="5">
        <v>94.81</v>
      </c>
      <c r="L1490" s="5">
        <v>16.28</v>
      </c>
      <c r="M1490" s="5">
        <v>52.37</v>
      </c>
      <c r="N1490" s="5">
        <v>59.08</v>
      </c>
      <c r="O1490" s="5">
        <v>68.540000000000006</v>
      </c>
      <c r="P1490" s="5">
        <v>77.31</v>
      </c>
    </row>
    <row r="1491" spans="1:16" ht="15" customHeight="1" x14ac:dyDescent="0.35">
      <c r="A1491" s="1">
        <v>36</v>
      </c>
      <c r="B1491" s="5">
        <v>6.2</v>
      </c>
      <c r="C1491" s="5">
        <v>7.52</v>
      </c>
      <c r="D1491" s="5">
        <v>8.49</v>
      </c>
      <c r="E1491" s="5">
        <v>10.23</v>
      </c>
      <c r="F1491" s="5">
        <v>12.85</v>
      </c>
      <c r="G1491" s="5">
        <v>15.1</v>
      </c>
      <c r="H1491" s="5">
        <v>17.86</v>
      </c>
      <c r="I1491" s="5">
        <v>126.71</v>
      </c>
      <c r="J1491" s="5">
        <v>9.7200000000000006</v>
      </c>
      <c r="K1491" s="5">
        <v>96.83</v>
      </c>
      <c r="L1491" s="5">
        <v>16.53</v>
      </c>
      <c r="M1491" s="5">
        <v>53.27</v>
      </c>
      <c r="N1491" s="5">
        <v>60.08</v>
      </c>
      <c r="O1491" s="5">
        <v>69.709999999999994</v>
      </c>
      <c r="P1491" s="5">
        <v>78.62</v>
      </c>
    </row>
    <row r="1492" spans="1:16" ht="15" customHeight="1" x14ac:dyDescent="0.35">
      <c r="A1492" s="1">
        <v>37</v>
      </c>
      <c r="B1492" s="5">
        <v>6.3</v>
      </c>
      <c r="C1492" s="5">
        <v>7.62</v>
      </c>
      <c r="D1492" s="5">
        <v>8.58</v>
      </c>
      <c r="E1492" s="5">
        <v>10.45</v>
      </c>
      <c r="F1492" s="5">
        <v>12.91</v>
      </c>
      <c r="G1492" s="5">
        <v>15.59</v>
      </c>
      <c r="H1492" s="5">
        <v>18.04</v>
      </c>
      <c r="I1492" s="5">
        <v>129.62</v>
      </c>
      <c r="J1492" s="5">
        <v>9.74</v>
      </c>
      <c r="K1492" s="5">
        <v>99.05</v>
      </c>
      <c r="L1492" s="5">
        <v>16.79</v>
      </c>
      <c r="M1492" s="5">
        <v>54.17</v>
      </c>
      <c r="N1492" s="5">
        <v>61.03</v>
      </c>
      <c r="O1492" s="5">
        <v>70.89</v>
      </c>
      <c r="P1492" s="5">
        <v>79.86</v>
      </c>
    </row>
    <row r="1493" spans="1:16" ht="15" customHeight="1" x14ac:dyDescent="0.35">
      <c r="A1493" s="1">
        <v>38</v>
      </c>
      <c r="B1493" s="5">
        <v>6.4</v>
      </c>
      <c r="C1493" s="5">
        <v>7.74</v>
      </c>
      <c r="D1493" s="5">
        <v>8.86</v>
      </c>
      <c r="E1493" s="5">
        <v>10.71</v>
      </c>
      <c r="F1493" s="5">
        <v>13.2</v>
      </c>
      <c r="G1493" s="5">
        <v>15.65</v>
      </c>
      <c r="H1493" s="5">
        <v>18.37</v>
      </c>
      <c r="I1493" s="5">
        <v>132.72</v>
      </c>
      <c r="J1493" s="5">
        <v>9.85</v>
      </c>
      <c r="K1493" s="5">
        <v>101.42</v>
      </c>
      <c r="L1493" s="5">
        <v>17.04</v>
      </c>
      <c r="M1493" s="5">
        <v>55.05</v>
      </c>
      <c r="N1493" s="5">
        <v>62.03</v>
      </c>
      <c r="O1493" s="5">
        <v>72.03</v>
      </c>
      <c r="P1493" s="5">
        <v>81.17</v>
      </c>
    </row>
    <row r="1494" spans="1:16" ht="15" customHeight="1" x14ac:dyDescent="0.35">
      <c r="A1494" s="1">
        <v>39</v>
      </c>
      <c r="B1494" s="5">
        <v>6.61</v>
      </c>
      <c r="C1494" s="5">
        <v>8.0399999999999991</v>
      </c>
      <c r="D1494" s="5">
        <v>9.24</v>
      </c>
      <c r="E1494" s="5">
        <v>11.04</v>
      </c>
      <c r="F1494" s="5">
        <v>13.8</v>
      </c>
      <c r="G1494" s="5">
        <v>16.27</v>
      </c>
      <c r="H1494" s="5">
        <v>18.75</v>
      </c>
      <c r="I1494" s="5">
        <v>135.58000000000001</v>
      </c>
      <c r="J1494" s="5">
        <v>9.91</v>
      </c>
      <c r="K1494" s="5">
        <v>103.61</v>
      </c>
      <c r="L1494" s="5">
        <v>17.29</v>
      </c>
      <c r="M1494" s="5">
        <v>55.99</v>
      </c>
      <c r="N1494" s="5">
        <v>62.98</v>
      </c>
      <c r="O1494" s="5">
        <v>73.27</v>
      </c>
      <c r="P1494" s="5">
        <v>82.42</v>
      </c>
    </row>
    <row r="1495" spans="1:16" ht="15" customHeight="1" x14ac:dyDescent="0.35">
      <c r="A1495" s="1">
        <v>40</v>
      </c>
      <c r="B1495" s="5">
        <v>6.61</v>
      </c>
      <c r="C1495" s="5">
        <v>8.07</v>
      </c>
      <c r="D1495" s="5">
        <v>9.24</v>
      </c>
      <c r="E1495" s="5">
        <v>11.04</v>
      </c>
      <c r="F1495" s="5">
        <v>13.82</v>
      </c>
      <c r="G1495" s="5">
        <v>16.27</v>
      </c>
      <c r="H1495" s="5">
        <v>18.75</v>
      </c>
      <c r="I1495" s="5">
        <v>138.47999999999999</v>
      </c>
      <c r="J1495" s="5">
        <v>9.99</v>
      </c>
      <c r="K1495" s="5">
        <v>105.82</v>
      </c>
      <c r="L1495" s="5">
        <v>17.559999999999999</v>
      </c>
      <c r="M1495" s="5">
        <v>56.89</v>
      </c>
      <c r="N1495" s="5">
        <v>64.069999999999993</v>
      </c>
      <c r="O1495" s="5">
        <v>74.45</v>
      </c>
      <c r="P1495" s="5">
        <v>83.84</v>
      </c>
    </row>
    <row r="1496" spans="1:16" ht="15" customHeight="1" x14ac:dyDescent="0.35">
      <c r="A1496" s="1">
        <v>41</v>
      </c>
      <c r="B1496" s="5">
        <v>6.76</v>
      </c>
      <c r="C1496" s="5">
        <v>8.42</v>
      </c>
      <c r="D1496" s="5">
        <v>9.51</v>
      </c>
      <c r="E1496" s="5">
        <v>11.43</v>
      </c>
      <c r="F1496" s="5">
        <v>14.4</v>
      </c>
      <c r="G1496" s="5">
        <v>16.77</v>
      </c>
      <c r="H1496" s="5">
        <v>19.46</v>
      </c>
      <c r="I1496" s="5">
        <v>140.87</v>
      </c>
      <c r="J1496" s="5">
        <v>10.11</v>
      </c>
      <c r="K1496" s="5">
        <v>107.65</v>
      </c>
      <c r="L1496" s="5">
        <v>17.79</v>
      </c>
      <c r="M1496" s="5">
        <v>57.83</v>
      </c>
      <c r="N1496" s="5">
        <v>65.19</v>
      </c>
      <c r="O1496" s="5">
        <v>75.67</v>
      </c>
      <c r="P1496" s="5">
        <v>85.3</v>
      </c>
    </row>
    <row r="1497" spans="1:16" ht="15" customHeight="1" x14ac:dyDescent="0.35">
      <c r="A1497" s="1">
        <v>42</v>
      </c>
      <c r="B1497" s="5">
        <v>6.77</v>
      </c>
      <c r="C1497" s="5">
        <v>8.4499999999999993</v>
      </c>
      <c r="D1497" s="5">
        <v>9.8699999999999992</v>
      </c>
      <c r="E1497" s="5">
        <v>11.47</v>
      </c>
      <c r="F1497" s="5">
        <v>14.46</v>
      </c>
      <c r="G1497" s="5">
        <v>17.059999999999999</v>
      </c>
      <c r="H1497" s="5">
        <v>19.559999999999999</v>
      </c>
      <c r="I1497" s="5">
        <v>143.53</v>
      </c>
      <c r="J1497" s="5">
        <v>10.31</v>
      </c>
      <c r="K1497" s="5">
        <v>109.68</v>
      </c>
      <c r="L1497" s="5">
        <v>18.09</v>
      </c>
      <c r="M1497" s="5">
        <v>58.71</v>
      </c>
      <c r="N1497" s="5">
        <v>66.34</v>
      </c>
      <c r="O1497" s="5">
        <v>76.83</v>
      </c>
      <c r="P1497" s="5">
        <v>86.81</v>
      </c>
    </row>
    <row r="1498" spans="1:16" ht="15" customHeight="1" x14ac:dyDescent="0.35">
      <c r="A1498" s="1">
        <v>43</v>
      </c>
      <c r="B1498" s="5">
        <v>6.9</v>
      </c>
      <c r="C1498" s="5">
        <v>8.57</v>
      </c>
      <c r="D1498" s="5">
        <v>9.89</v>
      </c>
      <c r="E1498" s="5">
        <v>12.05</v>
      </c>
      <c r="F1498" s="5">
        <v>15.25</v>
      </c>
      <c r="G1498" s="5">
        <v>17.68</v>
      </c>
      <c r="H1498" s="5">
        <v>20.09</v>
      </c>
      <c r="I1498" s="5">
        <v>146.46</v>
      </c>
      <c r="J1498" s="5">
        <v>10.42</v>
      </c>
      <c r="K1498" s="5">
        <v>111.92</v>
      </c>
      <c r="L1498" s="5">
        <v>18.3</v>
      </c>
      <c r="M1498" s="5">
        <v>59.59</v>
      </c>
      <c r="N1498" s="5">
        <v>67.52</v>
      </c>
      <c r="O1498" s="5">
        <v>77.97</v>
      </c>
      <c r="P1498" s="5">
        <v>88.35</v>
      </c>
    </row>
    <row r="1499" spans="1:16" ht="15" customHeight="1" x14ac:dyDescent="0.35">
      <c r="A1499" s="1">
        <v>44</v>
      </c>
      <c r="B1499" s="5">
        <v>6.99</v>
      </c>
      <c r="C1499" s="5">
        <v>8.6999999999999993</v>
      </c>
      <c r="D1499" s="5">
        <v>10.15</v>
      </c>
      <c r="E1499" s="5">
        <v>12.27</v>
      </c>
      <c r="F1499" s="5">
        <v>15.33</v>
      </c>
      <c r="G1499" s="5">
        <v>18.23</v>
      </c>
      <c r="H1499" s="5">
        <v>20.3</v>
      </c>
      <c r="I1499" s="5">
        <v>148.56</v>
      </c>
      <c r="J1499" s="5">
        <v>10.57</v>
      </c>
      <c r="K1499" s="5">
        <v>113.52</v>
      </c>
      <c r="L1499" s="5">
        <v>18.59</v>
      </c>
      <c r="M1499" s="5">
        <v>60.53</v>
      </c>
      <c r="N1499" s="5">
        <v>68.63</v>
      </c>
      <c r="O1499" s="5">
        <v>79.209999999999994</v>
      </c>
      <c r="P1499" s="5">
        <v>89.8</v>
      </c>
    </row>
    <row r="1500" spans="1:16" ht="15" customHeight="1" x14ac:dyDescent="0.35">
      <c r="A1500" s="1">
        <v>45</v>
      </c>
      <c r="B1500" s="5">
        <v>7</v>
      </c>
      <c r="C1500" s="5">
        <v>8.6999999999999993</v>
      </c>
      <c r="D1500" s="5">
        <v>10.15</v>
      </c>
      <c r="E1500" s="5">
        <v>12.27</v>
      </c>
      <c r="F1500" s="5">
        <v>15.34</v>
      </c>
      <c r="G1500" s="5">
        <v>18.579999999999998</v>
      </c>
      <c r="H1500" s="5">
        <v>20.440000000000001</v>
      </c>
      <c r="I1500" s="5">
        <v>151.41999999999999</v>
      </c>
      <c r="J1500" s="5">
        <v>10.68</v>
      </c>
      <c r="K1500" s="5">
        <v>115.71</v>
      </c>
      <c r="L1500" s="5">
        <v>18.82</v>
      </c>
      <c r="M1500" s="5">
        <v>61.43</v>
      </c>
      <c r="N1500" s="5">
        <v>69.77</v>
      </c>
      <c r="O1500" s="5">
        <v>80.38</v>
      </c>
      <c r="P1500" s="5">
        <v>91.3</v>
      </c>
    </row>
    <row r="1501" spans="1:16" ht="15" customHeight="1" x14ac:dyDescent="0.35">
      <c r="A1501" s="1">
        <v>46</v>
      </c>
      <c r="B1501" s="5">
        <v>7.18</v>
      </c>
      <c r="C1501" s="5">
        <v>8.7899999999999991</v>
      </c>
      <c r="D1501" s="5">
        <v>10.47</v>
      </c>
      <c r="E1501" s="5">
        <v>12.51</v>
      </c>
      <c r="F1501" s="5">
        <v>15.75</v>
      </c>
      <c r="G1501" s="5">
        <v>18.78</v>
      </c>
      <c r="H1501" s="5">
        <v>20.99</v>
      </c>
      <c r="I1501" s="5">
        <v>154.33000000000001</v>
      </c>
      <c r="J1501" s="5">
        <v>10.77</v>
      </c>
      <c r="K1501" s="5">
        <v>117.94</v>
      </c>
      <c r="L1501" s="5">
        <v>19.09</v>
      </c>
      <c r="M1501" s="5">
        <v>62.34</v>
      </c>
      <c r="N1501" s="5">
        <v>70.900000000000006</v>
      </c>
      <c r="O1501" s="5">
        <v>81.58</v>
      </c>
      <c r="P1501" s="5">
        <v>92.77</v>
      </c>
    </row>
    <row r="1502" spans="1:16" ht="15" customHeight="1" x14ac:dyDescent="0.35">
      <c r="A1502" s="1">
        <v>47</v>
      </c>
      <c r="B1502" s="5">
        <v>7.19</v>
      </c>
      <c r="C1502" s="5">
        <v>8.99</v>
      </c>
      <c r="D1502" s="5">
        <v>10.64</v>
      </c>
      <c r="E1502" s="5">
        <v>12.59</v>
      </c>
      <c r="F1502" s="5">
        <v>15.96</v>
      </c>
      <c r="G1502" s="5">
        <v>19.149999999999999</v>
      </c>
      <c r="H1502" s="5">
        <v>21.33</v>
      </c>
      <c r="I1502" s="5">
        <v>157.29</v>
      </c>
      <c r="J1502" s="5">
        <v>10.94</v>
      </c>
      <c r="K1502" s="5">
        <v>120.2</v>
      </c>
      <c r="L1502" s="5">
        <v>19.329999999999998</v>
      </c>
      <c r="M1502" s="5">
        <v>63.28</v>
      </c>
      <c r="N1502" s="5">
        <v>72.05</v>
      </c>
      <c r="O1502" s="5">
        <v>82.8</v>
      </c>
      <c r="P1502" s="5">
        <v>94.28</v>
      </c>
    </row>
    <row r="1503" spans="1:16" ht="15" customHeight="1" x14ac:dyDescent="0.35">
      <c r="A1503" s="1">
        <v>48</v>
      </c>
      <c r="B1503" s="5">
        <v>7.19</v>
      </c>
      <c r="C1503" s="5">
        <v>8.99</v>
      </c>
      <c r="D1503" s="5">
        <v>10.76</v>
      </c>
      <c r="E1503" s="5">
        <v>13.05</v>
      </c>
      <c r="F1503" s="5">
        <v>16.2</v>
      </c>
      <c r="G1503" s="5">
        <v>19.32</v>
      </c>
      <c r="H1503" s="5">
        <v>21.66</v>
      </c>
      <c r="I1503" s="5">
        <v>159.99</v>
      </c>
      <c r="J1503" s="5">
        <v>11.1</v>
      </c>
      <c r="K1503" s="5">
        <v>122.26</v>
      </c>
      <c r="L1503" s="5">
        <v>19.66</v>
      </c>
      <c r="M1503" s="5">
        <v>64.150000000000006</v>
      </c>
      <c r="N1503" s="5">
        <v>73.2</v>
      </c>
      <c r="O1503" s="5">
        <v>83.95</v>
      </c>
      <c r="P1503" s="5">
        <v>95.79</v>
      </c>
    </row>
    <row r="1504" spans="1:16" ht="15" customHeight="1" x14ac:dyDescent="0.35">
      <c r="A1504" s="1">
        <v>49</v>
      </c>
      <c r="B1504" s="5">
        <v>7.19</v>
      </c>
      <c r="C1504" s="5">
        <v>9</v>
      </c>
      <c r="D1504" s="5">
        <v>10.76</v>
      </c>
      <c r="E1504" s="5">
        <v>13.05</v>
      </c>
      <c r="F1504" s="5">
        <v>16.32</v>
      </c>
      <c r="G1504" s="5">
        <v>19.71</v>
      </c>
      <c r="H1504" s="5">
        <v>21.79</v>
      </c>
      <c r="I1504" s="5">
        <v>162.72</v>
      </c>
      <c r="J1504" s="5">
        <v>11.3</v>
      </c>
      <c r="K1504" s="5">
        <v>124.35</v>
      </c>
      <c r="L1504" s="5">
        <v>19.97</v>
      </c>
      <c r="M1504" s="5">
        <v>65.06</v>
      </c>
      <c r="N1504" s="5">
        <v>74.23</v>
      </c>
      <c r="O1504" s="5">
        <v>85.14</v>
      </c>
      <c r="P1504" s="5">
        <v>97.13</v>
      </c>
    </row>
    <row r="1505" spans="1:16" ht="15" customHeight="1" x14ac:dyDescent="0.35">
      <c r="A1505" s="1">
        <v>50</v>
      </c>
      <c r="B1505" s="5">
        <v>7.19</v>
      </c>
      <c r="C1505" s="5">
        <v>9</v>
      </c>
      <c r="D1505" s="5">
        <v>10.77</v>
      </c>
      <c r="E1505" s="5">
        <v>13.06</v>
      </c>
      <c r="F1505" s="5">
        <v>16.46</v>
      </c>
      <c r="G1505" s="5">
        <v>19.88</v>
      </c>
      <c r="H1505" s="5">
        <v>22.1</v>
      </c>
      <c r="I1505" s="5">
        <v>165.45</v>
      </c>
      <c r="J1505" s="5">
        <v>11.63</v>
      </c>
      <c r="K1505" s="5">
        <v>126.44</v>
      </c>
      <c r="L1505" s="5">
        <v>20.29</v>
      </c>
      <c r="M1505" s="5">
        <v>65.989999999999995</v>
      </c>
      <c r="N1505" s="5">
        <v>75.209999999999994</v>
      </c>
      <c r="O1505" s="5">
        <v>86.35</v>
      </c>
      <c r="P1505" s="5">
        <v>98.42</v>
      </c>
    </row>
    <row r="1506" spans="1:16" ht="15" customHeight="1" x14ac:dyDescent="0.35">
      <c r="A1506" s="1">
        <v>51</v>
      </c>
      <c r="B1506" s="5">
        <v>7.2</v>
      </c>
      <c r="C1506" s="5">
        <v>9</v>
      </c>
      <c r="D1506" s="5">
        <v>10.82</v>
      </c>
      <c r="E1506" s="5">
        <v>13.12</v>
      </c>
      <c r="F1506" s="5">
        <v>16.66</v>
      </c>
      <c r="G1506" s="5">
        <v>20.13</v>
      </c>
      <c r="H1506" s="5">
        <v>22.61</v>
      </c>
      <c r="I1506" s="5">
        <v>169.77</v>
      </c>
      <c r="J1506" s="5">
        <v>11.79</v>
      </c>
      <c r="K1506" s="5">
        <v>129.74</v>
      </c>
      <c r="L1506" s="5">
        <v>20.64</v>
      </c>
      <c r="M1506" s="5">
        <v>67.12</v>
      </c>
      <c r="N1506" s="5">
        <v>76.540000000000006</v>
      </c>
      <c r="O1506" s="5">
        <v>87.83</v>
      </c>
      <c r="P1506" s="5">
        <v>100.16</v>
      </c>
    </row>
    <row r="1507" spans="1:16" ht="15" customHeight="1" x14ac:dyDescent="0.35">
      <c r="A1507" s="1">
        <v>52</v>
      </c>
      <c r="B1507" s="5">
        <v>7.2</v>
      </c>
      <c r="C1507" s="5">
        <v>9</v>
      </c>
      <c r="D1507" s="5">
        <v>10.83</v>
      </c>
      <c r="E1507" s="5">
        <v>13.13</v>
      </c>
      <c r="F1507" s="5">
        <v>16.670000000000002</v>
      </c>
      <c r="G1507" s="5">
        <v>20.13</v>
      </c>
      <c r="H1507" s="5">
        <v>22.61</v>
      </c>
      <c r="I1507" s="5">
        <v>170.12</v>
      </c>
      <c r="J1507" s="5">
        <v>12.06</v>
      </c>
      <c r="K1507" s="5">
        <v>130</v>
      </c>
      <c r="L1507" s="5">
        <v>21.02</v>
      </c>
      <c r="M1507" s="5">
        <v>67.87</v>
      </c>
      <c r="N1507" s="5">
        <v>77.510000000000005</v>
      </c>
      <c r="O1507" s="5">
        <v>88.81</v>
      </c>
      <c r="P1507" s="5">
        <v>101.42</v>
      </c>
    </row>
    <row r="1508" spans="1:16" ht="15" customHeight="1" x14ac:dyDescent="0.35">
      <c r="A1508" s="1">
        <v>53</v>
      </c>
      <c r="B1508" s="5">
        <v>7.2</v>
      </c>
      <c r="C1508" s="5">
        <v>9.01</v>
      </c>
      <c r="D1508" s="5">
        <v>10.83</v>
      </c>
      <c r="E1508" s="5">
        <v>13.26</v>
      </c>
      <c r="F1508" s="5">
        <v>16.670000000000002</v>
      </c>
      <c r="G1508" s="5">
        <v>20.14</v>
      </c>
      <c r="H1508" s="5">
        <v>22.83</v>
      </c>
      <c r="I1508" s="5">
        <v>172.69</v>
      </c>
      <c r="J1508" s="5">
        <v>12.18</v>
      </c>
      <c r="K1508" s="5">
        <v>131.97</v>
      </c>
      <c r="L1508" s="5">
        <v>21.49</v>
      </c>
      <c r="M1508" s="5">
        <v>68.63</v>
      </c>
      <c r="N1508" s="5">
        <v>78.510000000000005</v>
      </c>
      <c r="O1508" s="5">
        <v>89.81</v>
      </c>
      <c r="P1508" s="5">
        <v>102.74</v>
      </c>
    </row>
    <row r="1509" spans="1:16" ht="15" customHeight="1" x14ac:dyDescent="0.35">
      <c r="A1509" s="1">
        <v>54</v>
      </c>
      <c r="B1509" s="5">
        <v>7.2</v>
      </c>
      <c r="C1509" s="5">
        <v>9.01</v>
      </c>
      <c r="D1509" s="5">
        <v>10.85</v>
      </c>
      <c r="E1509" s="5">
        <v>13.29</v>
      </c>
      <c r="F1509" s="5">
        <v>16.670000000000002</v>
      </c>
      <c r="G1509" s="5">
        <v>20.14</v>
      </c>
      <c r="H1509" s="5">
        <v>22.83</v>
      </c>
      <c r="I1509" s="5">
        <v>175.14</v>
      </c>
      <c r="J1509" s="5">
        <v>12.42</v>
      </c>
      <c r="K1509" s="5">
        <v>133.84</v>
      </c>
      <c r="L1509" s="5">
        <v>21.66</v>
      </c>
      <c r="M1509" s="5">
        <v>69.349999999999994</v>
      </c>
      <c r="N1509" s="5">
        <v>79.47</v>
      </c>
      <c r="O1509" s="5">
        <v>90.75</v>
      </c>
      <c r="P1509" s="5">
        <v>104</v>
      </c>
    </row>
    <row r="1510" spans="1:16" ht="15" customHeight="1" x14ac:dyDescent="0.35">
      <c r="A1510" s="1">
        <v>55</v>
      </c>
      <c r="B1510" s="5">
        <v>7.21</v>
      </c>
      <c r="C1510" s="5">
        <v>9.01</v>
      </c>
      <c r="D1510" s="5">
        <v>10.85</v>
      </c>
      <c r="E1510" s="5">
        <v>13.29</v>
      </c>
      <c r="F1510" s="5">
        <v>16.68</v>
      </c>
      <c r="G1510" s="5">
        <v>20.14</v>
      </c>
      <c r="H1510" s="5">
        <v>22.84</v>
      </c>
      <c r="I1510" s="5">
        <v>177.49</v>
      </c>
      <c r="J1510" s="5">
        <v>12.65</v>
      </c>
      <c r="K1510" s="5">
        <v>135.63999999999999</v>
      </c>
      <c r="L1510" s="5">
        <v>21.97</v>
      </c>
      <c r="M1510" s="5">
        <v>70.12</v>
      </c>
      <c r="N1510" s="5">
        <v>80.5</v>
      </c>
      <c r="O1510" s="5">
        <v>91.76</v>
      </c>
      <c r="P1510" s="5">
        <v>105.34</v>
      </c>
    </row>
    <row r="1511" spans="1:16" ht="15" customHeight="1" x14ac:dyDescent="0.35">
      <c r="A1511" s="1">
        <v>56</v>
      </c>
      <c r="B1511" s="5">
        <v>7.21</v>
      </c>
      <c r="C1511" s="5">
        <v>9.02</v>
      </c>
      <c r="D1511" s="5">
        <v>10.85</v>
      </c>
      <c r="E1511" s="5">
        <v>13.29</v>
      </c>
      <c r="F1511" s="5">
        <v>16.68</v>
      </c>
      <c r="G1511" s="5">
        <v>20.149999999999999</v>
      </c>
      <c r="H1511" s="5">
        <v>23.12</v>
      </c>
      <c r="I1511" s="5">
        <v>179.89</v>
      </c>
      <c r="J1511" s="5">
        <v>13.01</v>
      </c>
      <c r="K1511" s="5">
        <v>137.47</v>
      </c>
      <c r="L1511" s="5">
        <v>22.29</v>
      </c>
      <c r="M1511" s="5">
        <v>70.790000000000006</v>
      </c>
      <c r="N1511" s="5">
        <v>81.38</v>
      </c>
      <c r="O1511" s="5">
        <v>92.63</v>
      </c>
      <c r="P1511" s="5">
        <v>106.49</v>
      </c>
    </row>
    <row r="1512" spans="1:16" ht="15" customHeight="1" x14ac:dyDescent="0.35">
      <c r="A1512" s="1">
        <v>57</v>
      </c>
      <c r="B1512" s="5">
        <v>7.34</v>
      </c>
      <c r="C1512" s="5">
        <v>9.06</v>
      </c>
      <c r="D1512" s="5">
        <v>10.85</v>
      </c>
      <c r="E1512" s="5">
        <v>13.69</v>
      </c>
      <c r="F1512" s="5">
        <v>16.690000000000001</v>
      </c>
      <c r="G1512" s="5">
        <v>20.149999999999999</v>
      </c>
      <c r="H1512" s="5">
        <v>23.36</v>
      </c>
      <c r="I1512" s="5">
        <v>182.37</v>
      </c>
      <c r="J1512" s="5">
        <v>13.08</v>
      </c>
      <c r="K1512" s="5">
        <v>139.36000000000001</v>
      </c>
      <c r="L1512" s="5">
        <v>22.59</v>
      </c>
      <c r="M1512" s="5">
        <v>71.42</v>
      </c>
      <c r="N1512" s="5">
        <v>82.18</v>
      </c>
      <c r="O1512" s="5">
        <v>93.46</v>
      </c>
      <c r="P1512" s="5">
        <v>107.54</v>
      </c>
    </row>
    <row r="1513" spans="1:16" ht="15" customHeight="1" x14ac:dyDescent="0.35">
      <c r="A1513" s="1">
        <v>58</v>
      </c>
      <c r="B1513" s="5">
        <v>7.34</v>
      </c>
      <c r="C1513" s="5">
        <v>9.07</v>
      </c>
      <c r="D1513" s="5">
        <v>10.86</v>
      </c>
      <c r="E1513" s="5">
        <v>13.69</v>
      </c>
      <c r="F1513" s="5">
        <v>16.690000000000001</v>
      </c>
      <c r="G1513" s="5">
        <v>20.16</v>
      </c>
      <c r="H1513" s="5">
        <v>23.56</v>
      </c>
      <c r="I1513" s="5">
        <v>184.75</v>
      </c>
      <c r="J1513" s="5">
        <v>13.32</v>
      </c>
      <c r="K1513" s="5">
        <v>141.18</v>
      </c>
      <c r="L1513" s="5">
        <v>22.92</v>
      </c>
      <c r="M1513" s="5">
        <v>72.069999999999993</v>
      </c>
      <c r="N1513" s="5">
        <v>83.02</v>
      </c>
      <c r="O1513" s="5">
        <v>94.31</v>
      </c>
      <c r="P1513" s="5">
        <v>108.63</v>
      </c>
    </row>
    <row r="1514" spans="1:16" ht="15" customHeight="1" x14ac:dyDescent="0.35">
      <c r="A1514" s="1">
        <v>59</v>
      </c>
      <c r="B1514" s="5">
        <v>7.35</v>
      </c>
      <c r="C1514" s="5">
        <v>9.07</v>
      </c>
      <c r="D1514" s="5">
        <v>10.94</v>
      </c>
      <c r="E1514" s="5">
        <v>13.7</v>
      </c>
      <c r="F1514" s="5">
        <v>16.809999999999999</v>
      </c>
      <c r="G1514" s="5">
        <v>20.16</v>
      </c>
      <c r="H1514" s="5">
        <v>23.95</v>
      </c>
      <c r="I1514" s="5">
        <v>187.56</v>
      </c>
      <c r="J1514" s="5">
        <v>13.57</v>
      </c>
      <c r="K1514" s="5">
        <v>143.33000000000001</v>
      </c>
      <c r="L1514" s="5">
        <v>23.22</v>
      </c>
      <c r="M1514" s="5">
        <v>72.760000000000005</v>
      </c>
      <c r="N1514" s="5">
        <v>83.82</v>
      </c>
      <c r="O1514" s="5">
        <v>95.22</v>
      </c>
      <c r="P1514" s="5">
        <v>109.69</v>
      </c>
    </row>
    <row r="1515" spans="1:16" ht="15" customHeight="1" x14ac:dyDescent="0.35">
      <c r="A1515" s="1">
        <v>60</v>
      </c>
      <c r="B1515" s="5">
        <v>7.55</v>
      </c>
      <c r="C1515" s="5">
        <v>9.42</v>
      </c>
      <c r="D1515" s="5">
        <v>11.12</v>
      </c>
      <c r="E1515" s="5">
        <v>14.19</v>
      </c>
      <c r="F1515" s="5">
        <v>17.12</v>
      </c>
      <c r="G1515" s="5">
        <v>20.23</v>
      </c>
      <c r="H1515" s="5">
        <v>24.1</v>
      </c>
      <c r="I1515" s="5">
        <v>190.48</v>
      </c>
      <c r="J1515" s="5">
        <v>13.86</v>
      </c>
      <c r="K1515" s="5">
        <v>145.56</v>
      </c>
      <c r="L1515" s="5">
        <v>23.54</v>
      </c>
      <c r="M1515" s="5">
        <v>73.400000000000006</v>
      </c>
      <c r="N1515" s="5">
        <v>84.65</v>
      </c>
      <c r="O1515" s="5">
        <v>96.05</v>
      </c>
      <c r="P1515" s="5">
        <v>110.77</v>
      </c>
    </row>
    <row r="1516" spans="1:16" ht="15" customHeight="1" x14ac:dyDescent="0.35">
      <c r="A1516" s="1">
        <v>61</v>
      </c>
      <c r="B1516" s="5">
        <v>7.56</v>
      </c>
      <c r="C1516" s="5">
        <v>9.4499999999999993</v>
      </c>
      <c r="D1516" s="5">
        <v>11.23</v>
      </c>
      <c r="E1516" s="5">
        <v>14.22</v>
      </c>
      <c r="F1516" s="5">
        <v>17.12</v>
      </c>
      <c r="G1516" s="5">
        <v>20.23</v>
      </c>
      <c r="H1516" s="5">
        <v>24.1</v>
      </c>
      <c r="I1516" s="5">
        <v>192.83</v>
      </c>
      <c r="J1516" s="5">
        <v>14.09</v>
      </c>
      <c r="K1516" s="5">
        <v>147.36000000000001</v>
      </c>
      <c r="L1516" s="5">
        <v>23.84</v>
      </c>
      <c r="M1516" s="5">
        <v>74.09</v>
      </c>
      <c r="N1516" s="5">
        <v>85.4</v>
      </c>
      <c r="O1516" s="5">
        <v>96.95</v>
      </c>
      <c r="P1516" s="5">
        <v>111.75</v>
      </c>
    </row>
    <row r="1517" spans="1:16" ht="15" customHeight="1" x14ac:dyDescent="0.35">
      <c r="A1517" s="1">
        <v>62</v>
      </c>
      <c r="B1517" s="5">
        <v>7.86</v>
      </c>
      <c r="C1517" s="5">
        <v>10.119999999999999</v>
      </c>
      <c r="D1517" s="5">
        <v>11.41</v>
      </c>
      <c r="E1517" s="5">
        <v>14.62</v>
      </c>
      <c r="F1517" s="5">
        <v>17.38</v>
      </c>
      <c r="G1517" s="5">
        <v>20.54</v>
      </c>
      <c r="H1517" s="5">
        <v>24.4</v>
      </c>
      <c r="I1517" s="5">
        <v>196</v>
      </c>
      <c r="J1517" s="5">
        <v>14.2</v>
      </c>
      <c r="K1517" s="5">
        <v>149.78</v>
      </c>
      <c r="L1517" s="5">
        <v>24.15</v>
      </c>
      <c r="M1517" s="5">
        <v>74.77</v>
      </c>
      <c r="N1517" s="5">
        <v>86.11</v>
      </c>
      <c r="O1517" s="5">
        <v>97.84</v>
      </c>
      <c r="P1517" s="5">
        <v>112.68</v>
      </c>
    </row>
    <row r="1518" spans="1:16" ht="15" customHeight="1" x14ac:dyDescent="0.35">
      <c r="A1518" s="1">
        <v>63</v>
      </c>
      <c r="B1518" s="5">
        <v>7.87</v>
      </c>
      <c r="C1518" s="5">
        <v>10.130000000000001</v>
      </c>
      <c r="D1518" s="5">
        <v>11.52</v>
      </c>
      <c r="E1518" s="5">
        <v>14.63</v>
      </c>
      <c r="F1518" s="5">
        <v>17.5</v>
      </c>
      <c r="G1518" s="5">
        <v>20.71</v>
      </c>
      <c r="H1518" s="5">
        <v>24.54</v>
      </c>
      <c r="I1518" s="5">
        <v>199.21</v>
      </c>
      <c r="J1518" s="5">
        <v>14.37</v>
      </c>
      <c r="K1518" s="5">
        <v>152.24</v>
      </c>
      <c r="L1518" s="5">
        <v>24.47</v>
      </c>
      <c r="M1518" s="5">
        <v>75.430000000000007</v>
      </c>
      <c r="N1518" s="5">
        <v>86.87</v>
      </c>
      <c r="O1518" s="5">
        <v>98.71</v>
      </c>
      <c r="P1518" s="5">
        <v>113.68</v>
      </c>
    </row>
    <row r="1519" spans="1:16" ht="15" customHeight="1" x14ac:dyDescent="0.35">
      <c r="A1519" s="1">
        <v>64</v>
      </c>
      <c r="B1519" s="5">
        <v>8.08</v>
      </c>
      <c r="C1519" s="5">
        <v>10.130000000000001</v>
      </c>
      <c r="D1519" s="5">
        <v>11.71</v>
      </c>
      <c r="E1519" s="5">
        <v>14.63</v>
      </c>
      <c r="F1519" s="5">
        <v>17.63</v>
      </c>
      <c r="G1519" s="5">
        <v>20.71</v>
      </c>
      <c r="H1519" s="5">
        <v>24.69</v>
      </c>
      <c r="I1519" s="5">
        <v>202.53</v>
      </c>
      <c r="J1519" s="5">
        <v>14.6</v>
      </c>
      <c r="K1519" s="5">
        <v>154.77000000000001</v>
      </c>
      <c r="L1519" s="5">
        <v>24.78</v>
      </c>
      <c r="M1519" s="5">
        <v>76.05</v>
      </c>
      <c r="N1519" s="5">
        <v>87.57</v>
      </c>
      <c r="O1519" s="5">
        <v>99.52</v>
      </c>
      <c r="P1519" s="5">
        <v>114.59</v>
      </c>
    </row>
    <row r="1520" spans="1:16" ht="15" customHeight="1" x14ac:dyDescent="0.35">
      <c r="A1520" s="1">
        <v>65</v>
      </c>
      <c r="B1520" s="5">
        <v>8.17</v>
      </c>
      <c r="C1520" s="5">
        <v>10.4</v>
      </c>
      <c r="D1520" s="5">
        <v>11.72</v>
      </c>
      <c r="E1520" s="5">
        <v>14.63</v>
      </c>
      <c r="F1520" s="5">
        <v>17.78</v>
      </c>
      <c r="G1520" s="5">
        <v>20.76</v>
      </c>
      <c r="H1520" s="5">
        <v>24.73</v>
      </c>
      <c r="I1520" s="5">
        <v>205.84</v>
      </c>
      <c r="J1520" s="5">
        <v>15</v>
      </c>
      <c r="K1520" s="5">
        <v>157.30000000000001</v>
      </c>
      <c r="L1520" s="5">
        <v>25.12</v>
      </c>
      <c r="M1520" s="5">
        <v>76.7</v>
      </c>
      <c r="N1520" s="5">
        <v>88.34</v>
      </c>
      <c r="O1520" s="5">
        <v>100.36</v>
      </c>
      <c r="P1520" s="5">
        <v>115.6</v>
      </c>
    </row>
    <row r="1521" spans="1:16" ht="15" customHeight="1" x14ac:dyDescent="0.35">
      <c r="A1521" s="1">
        <v>66</v>
      </c>
      <c r="B1521" s="5">
        <v>8.2100000000000009</v>
      </c>
      <c r="C1521" s="5">
        <v>10.5</v>
      </c>
      <c r="D1521" s="5">
        <v>11.72</v>
      </c>
      <c r="E1521" s="5">
        <v>14.64</v>
      </c>
      <c r="F1521" s="5">
        <v>17.79</v>
      </c>
      <c r="G1521" s="5">
        <v>20.83</v>
      </c>
      <c r="H1521" s="5">
        <v>24.84</v>
      </c>
      <c r="I1521" s="5">
        <v>209.02</v>
      </c>
      <c r="J1521" s="5">
        <v>15.15</v>
      </c>
      <c r="K1521" s="5">
        <v>159.72999999999999</v>
      </c>
      <c r="L1521" s="5">
        <v>25.43</v>
      </c>
      <c r="M1521" s="5">
        <v>77.25</v>
      </c>
      <c r="N1521" s="5">
        <v>89.06</v>
      </c>
      <c r="O1521" s="5">
        <v>101.08</v>
      </c>
      <c r="P1521" s="5">
        <v>116.55</v>
      </c>
    </row>
    <row r="1522" spans="1:16" ht="15" customHeight="1" x14ac:dyDescent="0.35">
      <c r="A1522" s="1">
        <v>67</v>
      </c>
      <c r="B1522" s="5">
        <v>8.2100000000000009</v>
      </c>
      <c r="C1522" s="5">
        <v>10.51</v>
      </c>
      <c r="D1522" s="5">
        <v>11.72</v>
      </c>
      <c r="E1522" s="5">
        <v>14.66</v>
      </c>
      <c r="F1522" s="5">
        <v>17.93</v>
      </c>
      <c r="G1522" s="5">
        <v>20.93</v>
      </c>
      <c r="H1522" s="5">
        <v>25.07</v>
      </c>
      <c r="I1522" s="5">
        <v>212.2</v>
      </c>
      <c r="J1522" s="5">
        <v>15.27</v>
      </c>
      <c r="K1522" s="5">
        <v>162.16</v>
      </c>
      <c r="L1522" s="5">
        <v>25.73</v>
      </c>
      <c r="M1522" s="5">
        <v>77.849999999999994</v>
      </c>
      <c r="N1522" s="5">
        <v>89.79</v>
      </c>
      <c r="O1522" s="5">
        <v>101.87</v>
      </c>
      <c r="P1522" s="5">
        <v>117.5</v>
      </c>
    </row>
    <row r="1523" spans="1:16" ht="15" customHeight="1" x14ac:dyDescent="0.35">
      <c r="A1523" s="1">
        <v>68</v>
      </c>
      <c r="B1523" s="5">
        <v>8.3000000000000007</v>
      </c>
      <c r="C1523" s="5">
        <v>10.7</v>
      </c>
      <c r="D1523" s="5">
        <v>12.43</v>
      </c>
      <c r="E1523" s="5">
        <v>15</v>
      </c>
      <c r="F1523" s="5">
        <v>18.2</v>
      </c>
      <c r="G1523" s="5">
        <v>21.25</v>
      </c>
      <c r="H1523" s="5">
        <v>25.08</v>
      </c>
      <c r="I1523" s="5">
        <v>215.25</v>
      </c>
      <c r="J1523" s="5">
        <v>15.84</v>
      </c>
      <c r="K1523" s="5">
        <v>164.49</v>
      </c>
      <c r="L1523" s="5">
        <v>26.07</v>
      </c>
      <c r="M1523" s="5">
        <v>78.38</v>
      </c>
      <c r="N1523" s="5">
        <v>90.55</v>
      </c>
      <c r="O1523" s="5">
        <v>102.56</v>
      </c>
      <c r="P1523" s="5">
        <v>118.49</v>
      </c>
    </row>
    <row r="1524" spans="1:16" ht="15" customHeight="1" x14ac:dyDescent="0.35">
      <c r="A1524" s="1">
        <v>69</v>
      </c>
      <c r="B1524" s="5">
        <v>8.48</v>
      </c>
      <c r="C1524" s="5">
        <v>10.81</v>
      </c>
      <c r="D1524" s="5">
        <v>12.55</v>
      </c>
      <c r="E1524" s="5">
        <v>15.1</v>
      </c>
      <c r="F1524" s="5">
        <v>18.29</v>
      </c>
      <c r="G1524" s="5">
        <v>21.25</v>
      </c>
      <c r="H1524" s="5">
        <v>25.21</v>
      </c>
      <c r="I1524" s="5">
        <v>218.38</v>
      </c>
      <c r="J1524" s="5">
        <v>15.85</v>
      </c>
      <c r="K1524" s="5">
        <v>166.88</v>
      </c>
      <c r="L1524" s="5">
        <v>26.38</v>
      </c>
      <c r="M1524" s="5">
        <v>78.98</v>
      </c>
      <c r="N1524" s="5">
        <v>91.27</v>
      </c>
      <c r="O1524" s="5">
        <v>103.36</v>
      </c>
      <c r="P1524" s="5">
        <v>119.44</v>
      </c>
    </row>
    <row r="1525" spans="1:16" ht="15" customHeight="1" x14ac:dyDescent="0.35">
      <c r="A1525" s="1">
        <v>70</v>
      </c>
      <c r="B1525" s="5">
        <v>8.51</v>
      </c>
      <c r="C1525" s="5">
        <v>10.96</v>
      </c>
      <c r="D1525" s="5">
        <v>12.83</v>
      </c>
      <c r="E1525" s="5">
        <v>15.83</v>
      </c>
      <c r="F1525" s="5">
        <v>18.66</v>
      </c>
      <c r="G1525" s="5">
        <v>21.25</v>
      </c>
      <c r="H1525" s="5">
        <v>25.43</v>
      </c>
      <c r="I1525" s="5">
        <v>222.97</v>
      </c>
      <c r="J1525" s="5">
        <v>16.21</v>
      </c>
      <c r="K1525" s="5">
        <v>170.39</v>
      </c>
      <c r="L1525" s="5">
        <v>26.69</v>
      </c>
      <c r="M1525" s="5">
        <v>79.59</v>
      </c>
      <c r="N1525" s="5">
        <v>91.99</v>
      </c>
      <c r="O1525" s="5">
        <v>104.15</v>
      </c>
      <c r="P1525" s="5">
        <v>120.38</v>
      </c>
    </row>
    <row r="1526" spans="1:16" ht="15" customHeight="1" x14ac:dyDescent="0.35">
      <c r="A1526" s="1">
        <v>71</v>
      </c>
      <c r="B1526" s="5">
        <v>8.52</v>
      </c>
      <c r="C1526" s="5">
        <v>10.96</v>
      </c>
      <c r="D1526" s="5">
        <v>13.02</v>
      </c>
      <c r="E1526" s="5">
        <v>15.83</v>
      </c>
      <c r="F1526" s="5">
        <v>18.78</v>
      </c>
      <c r="G1526" s="5">
        <v>21.6</v>
      </c>
      <c r="H1526" s="5">
        <v>25.43</v>
      </c>
      <c r="I1526" s="5">
        <v>226.4</v>
      </c>
      <c r="J1526" s="5">
        <v>16.41</v>
      </c>
      <c r="K1526" s="5">
        <v>173.01</v>
      </c>
      <c r="L1526" s="5">
        <v>26.96</v>
      </c>
      <c r="M1526" s="5">
        <v>80.13</v>
      </c>
      <c r="N1526" s="5">
        <v>92.72</v>
      </c>
      <c r="O1526" s="5">
        <v>104.86</v>
      </c>
      <c r="P1526" s="5">
        <v>121.33</v>
      </c>
    </row>
    <row r="1527" spans="1:16" ht="15" customHeight="1" x14ac:dyDescent="0.35">
      <c r="A1527" s="1">
        <v>72</v>
      </c>
      <c r="B1527" s="5">
        <v>8.76</v>
      </c>
      <c r="C1527" s="5">
        <v>10.96</v>
      </c>
      <c r="D1527" s="5">
        <v>13.3</v>
      </c>
      <c r="E1527" s="5">
        <v>15.84</v>
      </c>
      <c r="F1527" s="5">
        <v>19.09</v>
      </c>
      <c r="G1527" s="5">
        <v>22.52</v>
      </c>
      <c r="H1527" s="5">
        <v>25.47</v>
      </c>
      <c r="I1527" s="5">
        <v>229.77</v>
      </c>
      <c r="J1527" s="5">
        <v>17.5</v>
      </c>
      <c r="K1527" s="5">
        <v>175.58</v>
      </c>
      <c r="L1527" s="5">
        <v>28.18</v>
      </c>
      <c r="M1527" s="5">
        <v>80.75</v>
      </c>
      <c r="N1527" s="5">
        <v>93.45</v>
      </c>
      <c r="O1527" s="5">
        <v>105.66</v>
      </c>
      <c r="P1527" s="5">
        <v>122.29</v>
      </c>
    </row>
    <row r="1528" spans="1:16" ht="15" customHeight="1" x14ac:dyDescent="0.35">
      <c r="A1528" s="1">
        <v>73</v>
      </c>
      <c r="B1528" s="5">
        <v>8.82</v>
      </c>
      <c r="C1528" s="5">
        <v>11.07</v>
      </c>
      <c r="D1528" s="5">
        <v>13.3</v>
      </c>
      <c r="E1528" s="5">
        <v>16.07</v>
      </c>
      <c r="F1528" s="5">
        <v>19.3</v>
      </c>
      <c r="G1528" s="5">
        <v>22.56</v>
      </c>
      <c r="H1528" s="5">
        <v>25.47</v>
      </c>
      <c r="I1528" s="5">
        <v>233.13</v>
      </c>
      <c r="J1528" s="5">
        <v>17.68</v>
      </c>
      <c r="K1528" s="5">
        <v>178.16</v>
      </c>
      <c r="L1528" s="5">
        <v>29.08</v>
      </c>
      <c r="M1528" s="5">
        <v>81.3</v>
      </c>
      <c r="N1528" s="5">
        <v>94.21</v>
      </c>
      <c r="O1528" s="5">
        <v>106.39</v>
      </c>
      <c r="P1528" s="5">
        <v>123.28</v>
      </c>
    </row>
    <row r="1529" spans="1:16" ht="15" customHeight="1" x14ac:dyDescent="0.35">
      <c r="A1529" s="1">
        <v>74</v>
      </c>
      <c r="B1529" s="5">
        <v>9.0500000000000007</v>
      </c>
      <c r="C1529" s="5">
        <v>11.07</v>
      </c>
      <c r="D1529" s="5">
        <v>13.3</v>
      </c>
      <c r="E1529" s="5">
        <v>16.079999999999998</v>
      </c>
      <c r="F1529" s="5">
        <v>19.59</v>
      </c>
      <c r="G1529" s="5">
        <v>22.56</v>
      </c>
      <c r="H1529" s="5">
        <v>25.48</v>
      </c>
      <c r="I1529" s="5">
        <v>235.38</v>
      </c>
      <c r="J1529" s="5">
        <v>18.95</v>
      </c>
      <c r="K1529" s="5">
        <v>179.87</v>
      </c>
      <c r="L1529" s="5">
        <v>30.28</v>
      </c>
      <c r="M1529" s="5">
        <v>81.97</v>
      </c>
      <c r="N1529" s="5">
        <v>94.93</v>
      </c>
      <c r="O1529" s="5">
        <v>107.26</v>
      </c>
      <c r="P1529" s="5">
        <v>124.22</v>
      </c>
    </row>
    <row r="1530" spans="1:16" ht="15" customHeight="1" x14ac:dyDescent="0.35">
      <c r="A1530" s="1">
        <v>75</v>
      </c>
      <c r="B1530" s="5">
        <v>9.39</v>
      </c>
      <c r="C1530" s="5">
        <v>11.07</v>
      </c>
      <c r="D1530" s="5">
        <v>13.31</v>
      </c>
      <c r="E1530" s="5">
        <v>16.2</v>
      </c>
      <c r="F1530" s="5">
        <v>19.600000000000001</v>
      </c>
      <c r="G1530" s="5">
        <v>22.79</v>
      </c>
      <c r="H1530" s="5">
        <v>25.48</v>
      </c>
      <c r="I1530" s="5">
        <v>238.04</v>
      </c>
      <c r="J1530" s="5">
        <v>20</v>
      </c>
      <c r="K1530" s="5">
        <v>181.91</v>
      </c>
      <c r="L1530" s="5">
        <v>30.65</v>
      </c>
      <c r="M1530" s="5">
        <v>82.71</v>
      </c>
      <c r="N1530" s="5">
        <v>95.7</v>
      </c>
      <c r="O1530" s="5">
        <v>108.24</v>
      </c>
      <c r="P1530" s="5">
        <v>125.23</v>
      </c>
    </row>
    <row r="1531" spans="1:16" ht="15" customHeight="1" x14ac:dyDescent="0.35">
      <c r="A1531" s="1">
        <v>76</v>
      </c>
      <c r="B1531" s="5">
        <v>10.11</v>
      </c>
      <c r="C1531" s="5">
        <v>11.69</v>
      </c>
      <c r="D1531" s="5">
        <v>13.39</v>
      </c>
      <c r="E1531" s="5">
        <v>16.45</v>
      </c>
      <c r="F1531" s="5">
        <v>20.03</v>
      </c>
      <c r="G1531" s="5">
        <v>23.16</v>
      </c>
      <c r="H1531" s="5">
        <v>25.72</v>
      </c>
      <c r="I1531" s="5">
        <v>240.98</v>
      </c>
      <c r="J1531" s="5">
        <v>20.73</v>
      </c>
      <c r="K1531" s="5">
        <v>184.15</v>
      </c>
      <c r="L1531" s="5">
        <v>31.56</v>
      </c>
      <c r="M1531" s="5">
        <v>83.47</v>
      </c>
      <c r="N1531" s="5">
        <v>96.41</v>
      </c>
      <c r="O1531" s="5">
        <v>109.23</v>
      </c>
      <c r="P1531" s="5">
        <v>126.16</v>
      </c>
    </row>
    <row r="1532" spans="1:16" ht="15" customHeight="1" x14ac:dyDescent="0.35">
      <c r="A1532" s="1">
        <v>77</v>
      </c>
      <c r="B1532" s="5">
        <v>10.51</v>
      </c>
      <c r="C1532" s="5">
        <v>11.86</v>
      </c>
      <c r="D1532" s="5">
        <v>13.55</v>
      </c>
      <c r="E1532" s="5">
        <v>16.53</v>
      </c>
      <c r="F1532" s="5">
        <v>20.14</v>
      </c>
      <c r="G1532" s="5">
        <v>23.82</v>
      </c>
      <c r="H1532" s="5">
        <v>25.72</v>
      </c>
      <c r="I1532" s="5">
        <v>242.96</v>
      </c>
      <c r="J1532" s="5">
        <v>21.58</v>
      </c>
      <c r="K1532" s="5">
        <v>185.67</v>
      </c>
      <c r="L1532" s="5">
        <v>32.75</v>
      </c>
      <c r="M1532" s="5">
        <v>84.2</v>
      </c>
      <c r="N1532" s="5">
        <v>97.18</v>
      </c>
      <c r="O1532" s="5">
        <v>110.18</v>
      </c>
      <c r="P1532" s="5">
        <v>127.17</v>
      </c>
    </row>
    <row r="1533" spans="1:16" ht="15" customHeight="1" x14ac:dyDescent="0.35">
      <c r="A1533" s="1">
        <v>78</v>
      </c>
      <c r="B1533" s="5">
        <v>10.52</v>
      </c>
      <c r="C1533" s="5">
        <v>12.31</v>
      </c>
      <c r="D1533" s="5">
        <v>13.94</v>
      </c>
      <c r="E1533" s="5">
        <v>16.7</v>
      </c>
      <c r="F1533" s="5">
        <v>20.27</v>
      </c>
      <c r="G1533" s="5">
        <v>24</v>
      </c>
      <c r="H1533" s="5">
        <v>25.73</v>
      </c>
      <c r="I1533" s="5">
        <v>244.27</v>
      </c>
      <c r="J1533" s="5">
        <v>22.47</v>
      </c>
      <c r="K1533" s="5">
        <v>186.67</v>
      </c>
      <c r="L1533" s="5">
        <v>33.69</v>
      </c>
      <c r="M1533" s="5">
        <v>85.04</v>
      </c>
      <c r="N1533" s="5">
        <v>97.88</v>
      </c>
      <c r="O1533" s="5">
        <v>111.29</v>
      </c>
      <c r="P1533" s="5">
        <v>128.08000000000001</v>
      </c>
    </row>
    <row r="1534" spans="1:16" ht="15" customHeight="1" x14ac:dyDescent="0.35">
      <c r="A1534" s="1">
        <v>79</v>
      </c>
      <c r="B1534" s="5">
        <v>10.99</v>
      </c>
      <c r="C1534" s="5">
        <v>12.82</v>
      </c>
      <c r="D1534" s="5">
        <v>14.29</v>
      </c>
      <c r="E1534" s="5">
        <v>16.96</v>
      </c>
      <c r="F1534" s="5">
        <v>20.7</v>
      </c>
      <c r="G1534" s="5">
        <v>24.37</v>
      </c>
      <c r="H1534" s="5">
        <v>26.15</v>
      </c>
      <c r="I1534" s="5">
        <v>244.31</v>
      </c>
      <c r="J1534" s="5">
        <v>23.37</v>
      </c>
      <c r="K1534" s="5">
        <v>186.7</v>
      </c>
      <c r="L1534" s="5">
        <v>34.6</v>
      </c>
      <c r="M1534" s="5">
        <v>85.89</v>
      </c>
      <c r="N1534" s="5">
        <v>98.66</v>
      </c>
      <c r="O1534" s="5">
        <v>112.39</v>
      </c>
      <c r="P1534" s="5">
        <v>129.1</v>
      </c>
    </row>
    <row r="1535" spans="1:16" ht="15" customHeight="1" x14ac:dyDescent="0.35">
      <c r="A1535" s="1">
        <v>80</v>
      </c>
      <c r="B1535" s="5">
        <v>11.29</v>
      </c>
      <c r="C1535" s="5">
        <v>13.07</v>
      </c>
      <c r="D1535" s="5">
        <v>14.35</v>
      </c>
      <c r="E1535" s="5">
        <v>17.37</v>
      </c>
      <c r="F1535" s="5">
        <v>21.04</v>
      </c>
      <c r="G1535" s="5">
        <v>24.7</v>
      </c>
      <c r="H1535" s="5">
        <v>26.35</v>
      </c>
      <c r="I1535" s="5">
        <v>246.86</v>
      </c>
      <c r="J1535" s="5">
        <v>24.47</v>
      </c>
      <c r="K1535" s="5">
        <v>188.65</v>
      </c>
      <c r="L1535" s="5">
        <v>35.21</v>
      </c>
      <c r="M1535" s="5">
        <v>86.7</v>
      </c>
      <c r="N1535" s="5">
        <v>99.35</v>
      </c>
      <c r="O1535" s="5">
        <v>113.46</v>
      </c>
      <c r="P1535" s="5">
        <v>130.01</v>
      </c>
    </row>
    <row r="1536" spans="1:16" ht="15" customHeight="1" x14ac:dyDescent="0.35">
      <c r="A1536" s="1">
        <v>81</v>
      </c>
      <c r="B1536" s="5">
        <v>11.57</v>
      </c>
      <c r="C1536" s="5">
        <v>13.17</v>
      </c>
      <c r="D1536" s="5">
        <v>14.7</v>
      </c>
      <c r="E1536" s="5">
        <v>17.48</v>
      </c>
      <c r="F1536" s="5">
        <v>21.31</v>
      </c>
      <c r="G1536" s="5">
        <v>24.85</v>
      </c>
      <c r="H1536" s="5">
        <v>26.44</v>
      </c>
      <c r="I1536" s="5">
        <v>248.93</v>
      </c>
      <c r="J1536" s="5">
        <v>24.89</v>
      </c>
      <c r="K1536" s="5">
        <v>190.23</v>
      </c>
      <c r="L1536" s="5">
        <v>37.130000000000003</v>
      </c>
      <c r="M1536" s="5">
        <v>87.52</v>
      </c>
      <c r="N1536" s="5">
        <v>100.12</v>
      </c>
      <c r="O1536" s="5">
        <v>114.53</v>
      </c>
      <c r="P1536" s="5">
        <v>131.01</v>
      </c>
    </row>
    <row r="1537" spans="1:16" ht="15" customHeight="1" x14ac:dyDescent="0.35">
      <c r="A1537" s="1">
        <v>82</v>
      </c>
      <c r="B1537" s="5">
        <v>11.94</v>
      </c>
      <c r="C1537" s="5">
        <v>13.49</v>
      </c>
      <c r="D1537" s="5">
        <v>15.37</v>
      </c>
      <c r="E1537" s="5">
        <v>17.93</v>
      </c>
      <c r="F1537" s="5">
        <v>21.37</v>
      </c>
      <c r="G1537" s="5">
        <v>25.5</v>
      </c>
      <c r="H1537" s="5">
        <v>26.44</v>
      </c>
      <c r="I1537" s="5">
        <v>250.17</v>
      </c>
      <c r="J1537" s="5">
        <v>26.54</v>
      </c>
      <c r="K1537" s="5">
        <v>191.18</v>
      </c>
      <c r="L1537" s="5">
        <v>37.700000000000003</v>
      </c>
      <c r="M1537" s="5">
        <v>88.27</v>
      </c>
      <c r="N1537" s="5">
        <v>100.83</v>
      </c>
      <c r="O1537" s="5">
        <v>115.51</v>
      </c>
      <c r="P1537" s="5">
        <v>131.94999999999999</v>
      </c>
    </row>
    <row r="1538" spans="1:16" ht="15" customHeight="1" x14ac:dyDescent="0.35">
      <c r="A1538" s="1">
        <v>83</v>
      </c>
      <c r="B1538" s="5">
        <v>11.95</v>
      </c>
      <c r="C1538" s="5">
        <v>13.5</v>
      </c>
      <c r="D1538" s="5">
        <v>15.37</v>
      </c>
      <c r="E1538" s="5">
        <v>17.93</v>
      </c>
      <c r="F1538" s="5">
        <v>21.43</v>
      </c>
      <c r="G1538" s="5">
        <v>25.5</v>
      </c>
      <c r="H1538" s="5">
        <v>26.44</v>
      </c>
      <c r="I1538" s="5">
        <v>252.9</v>
      </c>
      <c r="J1538" s="5">
        <v>27.44</v>
      </c>
      <c r="K1538" s="5">
        <v>193.26</v>
      </c>
      <c r="L1538" s="5">
        <v>38.28</v>
      </c>
      <c r="M1538" s="5">
        <v>89.02</v>
      </c>
      <c r="N1538" s="5">
        <v>101.61</v>
      </c>
      <c r="O1538" s="5">
        <v>116.49</v>
      </c>
      <c r="P1538" s="5">
        <v>132.96</v>
      </c>
    </row>
    <row r="1539" spans="1:16" ht="15" customHeight="1" x14ac:dyDescent="0.35">
      <c r="A1539" s="1">
        <v>84</v>
      </c>
      <c r="B1539" s="5">
        <v>12.42</v>
      </c>
      <c r="C1539" s="5">
        <v>14.03</v>
      </c>
      <c r="D1539" s="5">
        <v>15.82</v>
      </c>
      <c r="E1539" s="5">
        <v>18.11</v>
      </c>
      <c r="F1539" s="5">
        <v>21.96</v>
      </c>
      <c r="G1539" s="5">
        <v>25.8</v>
      </c>
      <c r="H1539" s="5">
        <v>26.64</v>
      </c>
      <c r="I1539" s="5">
        <v>255.82</v>
      </c>
      <c r="J1539" s="5">
        <v>27.53</v>
      </c>
      <c r="K1539" s="5">
        <v>195.49</v>
      </c>
      <c r="L1539" s="5">
        <v>39.24</v>
      </c>
      <c r="M1539" s="5">
        <v>89.78</v>
      </c>
      <c r="N1539" s="5">
        <v>102.33</v>
      </c>
      <c r="O1539" s="5">
        <v>117.49</v>
      </c>
      <c r="P1539" s="5">
        <v>133.91</v>
      </c>
    </row>
    <row r="1540" spans="1:16" ht="15" customHeight="1" x14ac:dyDescent="0.35">
      <c r="A1540" s="1">
        <v>85</v>
      </c>
      <c r="B1540" s="5">
        <v>12.76</v>
      </c>
      <c r="C1540" s="5">
        <v>14.03</v>
      </c>
      <c r="D1540" s="5">
        <v>15.83</v>
      </c>
      <c r="E1540" s="5">
        <v>18.399999999999999</v>
      </c>
      <c r="F1540" s="5">
        <v>22.09</v>
      </c>
      <c r="G1540" s="5">
        <v>26.08</v>
      </c>
      <c r="H1540" s="5">
        <v>26.93</v>
      </c>
      <c r="I1540" s="5">
        <v>258.8</v>
      </c>
      <c r="J1540" s="5">
        <v>28.69</v>
      </c>
      <c r="K1540" s="5">
        <v>197.77</v>
      </c>
      <c r="L1540" s="5">
        <v>40.51</v>
      </c>
      <c r="M1540" s="5">
        <v>90.52</v>
      </c>
      <c r="N1540" s="5">
        <v>103.07</v>
      </c>
      <c r="O1540" s="5">
        <v>118.46</v>
      </c>
      <c r="P1540" s="5">
        <v>134.88</v>
      </c>
    </row>
    <row r="1541" spans="1:16" ht="15" customHeight="1" x14ac:dyDescent="0.35">
      <c r="A1541" s="1">
        <v>86</v>
      </c>
      <c r="B1541" s="5">
        <v>13.22</v>
      </c>
      <c r="C1541" s="5">
        <v>14.81</v>
      </c>
      <c r="D1541" s="5">
        <v>16.45</v>
      </c>
      <c r="E1541" s="5">
        <v>18.75</v>
      </c>
      <c r="F1541" s="5">
        <v>22.57</v>
      </c>
      <c r="G1541" s="5">
        <v>26.82</v>
      </c>
      <c r="H1541" s="5">
        <v>27.76</v>
      </c>
      <c r="I1541" s="5">
        <v>261.51</v>
      </c>
      <c r="J1541" s="5">
        <v>29.55</v>
      </c>
      <c r="K1541" s="5">
        <v>199.84</v>
      </c>
      <c r="L1541" s="5">
        <v>40.65</v>
      </c>
      <c r="M1541" s="5">
        <v>91.34</v>
      </c>
      <c r="N1541" s="5">
        <v>103.77</v>
      </c>
      <c r="O1541" s="5">
        <v>119.53</v>
      </c>
      <c r="P1541" s="5">
        <v>135.79</v>
      </c>
    </row>
    <row r="1542" spans="1:16" ht="15" customHeight="1" x14ac:dyDescent="0.35">
      <c r="A1542" s="1">
        <v>87</v>
      </c>
      <c r="B1542" s="5">
        <v>13.49</v>
      </c>
      <c r="C1542" s="5">
        <v>14.82</v>
      </c>
      <c r="D1542" s="5">
        <v>16.45</v>
      </c>
      <c r="E1542" s="5">
        <v>18.75</v>
      </c>
      <c r="F1542" s="5">
        <v>22.86</v>
      </c>
      <c r="G1542" s="5">
        <v>26.84</v>
      </c>
      <c r="H1542" s="5">
        <v>27.8</v>
      </c>
      <c r="I1542" s="5">
        <v>264.45999999999998</v>
      </c>
      <c r="J1542" s="5">
        <v>30.17</v>
      </c>
      <c r="K1542" s="5">
        <v>202.1</v>
      </c>
      <c r="L1542" s="5">
        <v>41.94</v>
      </c>
      <c r="M1542" s="5">
        <v>92.17</v>
      </c>
      <c r="N1542" s="5">
        <v>104.54</v>
      </c>
      <c r="O1542" s="5">
        <v>120.61</v>
      </c>
      <c r="P1542" s="5">
        <v>136.81</v>
      </c>
    </row>
    <row r="1543" spans="1:16" ht="15" customHeight="1" x14ac:dyDescent="0.35">
      <c r="A1543" s="1">
        <v>88</v>
      </c>
      <c r="B1543" s="5">
        <v>14.05</v>
      </c>
      <c r="C1543" s="5">
        <v>15.15</v>
      </c>
      <c r="D1543" s="5">
        <v>16.97</v>
      </c>
      <c r="E1543" s="5">
        <v>19.350000000000001</v>
      </c>
      <c r="F1543" s="5">
        <v>22.94</v>
      </c>
      <c r="G1543" s="5">
        <v>26.87</v>
      </c>
      <c r="H1543" s="5">
        <v>28.11</v>
      </c>
      <c r="I1543" s="5">
        <v>267.38</v>
      </c>
      <c r="J1543" s="5">
        <v>31.32</v>
      </c>
      <c r="K1543" s="5">
        <v>204.33</v>
      </c>
      <c r="L1543" s="5">
        <v>42.5</v>
      </c>
      <c r="M1543" s="5">
        <v>93</v>
      </c>
      <c r="N1543" s="5">
        <v>105.23</v>
      </c>
      <c r="O1543" s="5">
        <v>121.7</v>
      </c>
      <c r="P1543" s="5">
        <v>137.69999999999999</v>
      </c>
    </row>
    <row r="1544" spans="1:16" ht="15" customHeight="1" x14ac:dyDescent="0.35">
      <c r="A1544" s="1">
        <v>89</v>
      </c>
      <c r="B1544" s="5">
        <v>14.68</v>
      </c>
      <c r="C1544" s="5">
        <v>15.57</v>
      </c>
      <c r="D1544" s="5">
        <v>17.3</v>
      </c>
      <c r="E1544" s="5">
        <v>19.420000000000002</v>
      </c>
      <c r="F1544" s="5">
        <v>23.44</v>
      </c>
      <c r="G1544" s="5">
        <v>27.14</v>
      </c>
      <c r="H1544" s="5">
        <v>28.7</v>
      </c>
      <c r="I1544" s="5">
        <v>270.18</v>
      </c>
      <c r="J1544" s="5">
        <v>31.63</v>
      </c>
      <c r="K1544" s="5">
        <v>206.47</v>
      </c>
      <c r="L1544" s="5">
        <v>43.8</v>
      </c>
      <c r="M1544" s="5">
        <v>93.75</v>
      </c>
      <c r="N1544" s="5">
        <v>105.98</v>
      </c>
      <c r="O1544" s="5">
        <v>122.68</v>
      </c>
      <c r="P1544" s="5">
        <v>138.69</v>
      </c>
    </row>
    <row r="1545" spans="1:16" ht="15" customHeight="1" x14ac:dyDescent="0.35">
      <c r="A1545" s="1">
        <v>90</v>
      </c>
      <c r="B1545" s="5">
        <v>15.58</v>
      </c>
      <c r="C1545" s="5">
        <v>16.25</v>
      </c>
      <c r="D1545" s="5">
        <v>18.05</v>
      </c>
      <c r="E1545" s="5">
        <v>19.989999999999998</v>
      </c>
      <c r="F1545" s="5">
        <v>23.78</v>
      </c>
      <c r="G1545" s="5">
        <v>27.77</v>
      </c>
      <c r="H1545" s="5">
        <v>29.26</v>
      </c>
      <c r="I1545" s="5">
        <v>272.89999999999998</v>
      </c>
      <c r="J1545" s="5">
        <v>33.72</v>
      </c>
      <c r="K1545" s="5">
        <v>208.55</v>
      </c>
      <c r="L1545" s="5">
        <v>44.34</v>
      </c>
      <c r="M1545" s="5">
        <v>94.51</v>
      </c>
      <c r="N1545" s="5">
        <v>106.72</v>
      </c>
      <c r="O1545" s="5">
        <v>123.68</v>
      </c>
      <c r="P1545" s="5">
        <v>139.65</v>
      </c>
    </row>
    <row r="1546" spans="1:16" ht="15" customHeight="1" x14ac:dyDescent="0.35">
      <c r="A1546" s="1">
        <v>91</v>
      </c>
      <c r="B1546" s="5">
        <v>15.58</v>
      </c>
      <c r="C1546" s="5">
        <v>16.25</v>
      </c>
      <c r="D1546" s="5">
        <v>18.05</v>
      </c>
      <c r="E1546" s="5">
        <v>19.989999999999998</v>
      </c>
      <c r="F1546" s="5">
        <v>23.78</v>
      </c>
      <c r="G1546" s="5">
        <v>27.77</v>
      </c>
      <c r="H1546" s="5">
        <v>29.27</v>
      </c>
      <c r="I1546" s="5">
        <v>275.82</v>
      </c>
      <c r="J1546" s="5">
        <v>34.03</v>
      </c>
      <c r="K1546" s="5">
        <v>210.78</v>
      </c>
      <c r="L1546" s="5">
        <v>45.21</v>
      </c>
      <c r="M1546" s="5">
        <v>95.26</v>
      </c>
      <c r="N1546" s="5">
        <v>107.46</v>
      </c>
      <c r="O1546" s="5">
        <v>124.65</v>
      </c>
      <c r="P1546" s="5">
        <v>140.63</v>
      </c>
    </row>
    <row r="1547" spans="1:16" ht="15" customHeight="1" x14ac:dyDescent="0.35">
      <c r="A1547" s="1">
        <v>92</v>
      </c>
      <c r="B1547" s="5">
        <v>15.93</v>
      </c>
      <c r="C1547" s="5">
        <v>16.399999999999999</v>
      </c>
      <c r="D1547" s="5">
        <v>18.149999999999999</v>
      </c>
      <c r="E1547" s="5">
        <v>20.18</v>
      </c>
      <c r="F1547" s="5">
        <v>24.07</v>
      </c>
      <c r="G1547" s="5">
        <v>27.78</v>
      </c>
      <c r="H1547" s="5">
        <v>29.35</v>
      </c>
      <c r="I1547" s="5">
        <v>278.45</v>
      </c>
      <c r="J1547" s="5">
        <v>35.21</v>
      </c>
      <c r="K1547" s="5">
        <v>212.79</v>
      </c>
      <c r="L1547" s="5">
        <v>46.58</v>
      </c>
      <c r="M1547" s="5">
        <v>95.99</v>
      </c>
      <c r="N1547" s="5">
        <v>108.2</v>
      </c>
      <c r="O1547" s="5">
        <v>125.61</v>
      </c>
      <c r="P1547" s="5">
        <v>141.59</v>
      </c>
    </row>
    <row r="1548" spans="1:16" ht="15" customHeight="1" x14ac:dyDescent="0.35">
      <c r="A1548" s="1">
        <v>93</v>
      </c>
      <c r="B1548" s="5">
        <v>16.14</v>
      </c>
      <c r="C1548" s="5">
        <v>16.559999999999999</v>
      </c>
      <c r="D1548" s="5">
        <v>18.489999999999998</v>
      </c>
      <c r="E1548" s="5">
        <v>20.18</v>
      </c>
      <c r="F1548" s="5">
        <v>24.07</v>
      </c>
      <c r="G1548" s="5">
        <v>27.78</v>
      </c>
      <c r="H1548" s="5">
        <v>29.35</v>
      </c>
      <c r="I1548" s="5">
        <v>281.17</v>
      </c>
      <c r="J1548" s="5">
        <v>35.450000000000003</v>
      </c>
      <c r="K1548" s="5">
        <v>214.86</v>
      </c>
      <c r="L1548" s="5">
        <v>47.5</v>
      </c>
      <c r="M1548" s="5">
        <v>96.76</v>
      </c>
      <c r="N1548" s="5">
        <v>108.93</v>
      </c>
      <c r="O1548" s="5">
        <v>126.62</v>
      </c>
      <c r="P1548" s="5">
        <v>142.55000000000001</v>
      </c>
    </row>
    <row r="1549" spans="1:16" ht="15" customHeight="1" x14ac:dyDescent="0.35">
      <c r="A1549" s="1">
        <v>94</v>
      </c>
      <c r="B1549" s="5">
        <v>16.22</v>
      </c>
      <c r="C1549" s="5">
        <v>17</v>
      </c>
      <c r="D1549" s="5">
        <v>18.579999999999998</v>
      </c>
      <c r="E1549" s="5">
        <v>20.440000000000001</v>
      </c>
      <c r="F1549" s="5">
        <v>24.58</v>
      </c>
      <c r="G1549" s="5">
        <v>27.79</v>
      </c>
      <c r="H1549" s="5">
        <v>29.94</v>
      </c>
      <c r="I1549" s="5">
        <v>283.82</v>
      </c>
      <c r="J1549" s="5">
        <v>36.659999999999997</v>
      </c>
      <c r="K1549" s="5">
        <v>216.89</v>
      </c>
      <c r="L1549" s="5">
        <v>48.88</v>
      </c>
      <c r="M1549" s="5">
        <v>97.5</v>
      </c>
      <c r="N1549" s="5">
        <v>109.68</v>
      </c>
      <c r="O1549" s="5">
        <v>127.58</v>
      </c>
      <c r="P1549" s="5">
        <v>143.52000000000001</v>
      </c>
    </row>
    <row r="1550" spans="1:16" ht="15" customHeight="1" x14ac:dyDescent="0.35">
      <c r="A1550" s="1">
        <v>95</v>
      </c>
      <c r="B1550" s="5">
        <v>16.440000000000001</v>
      </c>
      <c r="C1550" s="5">
        <v>17.149999999999999</v>
      </c>
      <c r="D1550" s="5">
        <v>18.71</v>
      </c>
      <c r="E1550" s="5">
        <v>20.72</v>
      </c>
      <c r="F1550" s="5">
        <v>24.66</v>
      </c>
      <c r="G1550" s="5">
        <v>27.88</v>
      </c>
      <c r="H1550" s="5">
        <v>30.26</v>
      </c>
      <c r="I1550" s="5">
        <v>286.58</v>
      </c>
      <c r="J1550" s="5">
        <v>37.549999999999997</v>
      </c>
      <c r="K1550" s="5">
        <v>219</v>
      </c>
      <c r="L1550" s="5">
        <v>48.91</v>
      </c>
      <c r="M1550" s="5">
        <v>98.33</v>
      </c>
      <c r="N1550" s="5">
        <v>110.38</v>
      </c>
      <c r="O1550" s="5">
        <v>128.66999999999999</v>
      </c>
      <c r="P1550" s="5">
        <v>144.44</v>
      </c>
    </row>
    <row r="1551" spans="1:16" ht="15" customHeight="1" x14ac:dyDescent="0.35">
      <c r="A1551" s="1">
        <v>96</v>
      </c>
      <c r="B1551" s="5">
        <v>16.96</v>
      </c>
      <c r="C1551" s="5">
        <v>17.260000000000002</v>
      </c>
      <c r="D1551" s="5">
        <v>19.39</v>
      </c>
      <c r="E1551" s="5">
        <v>20.95</v>
      </c>
      <c r="F1551" s="5">
        <v>24.66</v>
      </c>
      <c r="G1551" s="5">
        <v>27.88</v>
      </c>
      <c r="H1551" s="5">
        <v>30.56</v>
      </c>
      <c r="I1551" s="5">
        <v>289.2</v>
      </c>
      <c r="J1551" s="5">
        <v>38.049999999999997</v>
      </c>
      <c r="K1551" s="5">
        <v>221</v>
      </c>
      <c r="L1551" s="5">
        <v>50.75</v>
      </c>
      <c r="M1551" s="5">
        <v>99.13</v>
      </c>
      <c r="N1551" s="5">
        <v>111.12</v>
      </c>
      <c r="O1551" s="5">
        <v>129.72999999999999</v>
      </c>
      <c r="P1551" s="5">
        <v>145.41</v>
      </c>
    </row>
    <row r="1552" spans="1:16" ht="15" customHeight="1" x14ac:dyDescent="0.35">
      <c r="A1552" s="1">
        <v>97</v>
      </c>
      <c r="B1552" s="5">
        <v>17.52</v>
      </c>
      <c r="C1552" s="5">
        <v>17.940000000000001</v>
      </c>
      <c r="D1552" s="5">
        <v>19.670000000000002</v>
      </c>
      <c r="E1552" s="5">
        <v>21.29</v>
      </c>
      <c r="F1552" s="5">
        <v>25.19</v>
      </c>
      <c r="G1552" s="5">
        <v>28.29</v>
      </c>
      <c r="H1552" s="5">
        <v>31.16</v>
      </c>
      <c r="I1552" s="5">
        <v>291.95999999999998</v>
      </c>
      <c r="J1552" s="5">
        <v>39.69</v>
      </c>
      <c r="K1552" s="5">
        <v>223.11</v>
      </c>
      <c r="L1552" s="5">
        <v>51.26</v>
      </c>
      <c r="M1552" s="5">
        <v>99.99</v>
      </c>
      <c r="N1552" s="5">
        <v>111.87</v>
      </c>
      <c r="O1552" s="5">
        <v>130.84</v>
      </c>
      <c r="P1552" s="5">
        <v>146.38999999999999</v>
      </c>
    </row>
    <row r="1553" spans="1:16" ht="15" customHeight="1" x14ac:dyDescent="0.35">
      <c r="A1553" s="1">
        <v>98</v>
      </c>
      <c r="B1553" s="5">
        <v>17.760000000000002</v>
      </c>
      <c r="C1553" s="5">
        <v>18.05</v>
      </c>
      <c r="D1553" s="5">
        <v>19.670000000000002</v>
      </c>
      <c r="E1553" s="5">
        <v>21.54</v>
      </c>
      <c r="F1553" s="5">
        <v>25.47</v>
      </c>
      <c r="G1553" s="5">
        <v>28.29</v>
      </c>
      <c r="H1553" s="5">
        <v>31.16</v>
      </c>
      <c r="I1553" s="5">
        <v>294.55</v>
      </c>
      <c r="J1553" s="5">
        <v>40.57</v>
      </c>
      <c r="K1553" s="5">
        <v>225.09</v>
      </c>
      <c r="L1553" s="5">
        <v>52.03</v>
      </c>
      <c r="M1553" s="5">
        <v>100.81</v>
      </c>
      <c r="N1553" s="5">
        <v>112.63</v>
      </c>
      <c r="O1553" s="5">
        <v>131.91999999999999</v>
      </c>
      <c r="P1553" s="5">
        <v>147.38999999999999</v>
      </c>
    </row>
    <row r="1554" spans="1:16" ht="15" customHeight="1" x14ac:dyDescent="0.35">
      <c r="A1554" s="1">
        <v>99</v>
      </c>
      <c r="B1554" s="5">
        <v>18</v>
      </c>
      <c r="C1554" s="5">
        <v>18.16</v>
      </c>
      <c r="D1554" s="5">
        <v>20.04</v>
      </c>
      <c r="E1554" s="5">
        <v>21.81</v>
      </c>
      <c r="F1554" s="5">
        <v>25.53</v>
      </c>
      <c r="G1554" s="5">
        <v>28.57</v>
      </c>
      <c r="H1554" s="5">
        <v>31.48</v>
      </c>
      <c r="I1554" s="5">
        <v>297.31</v>
      </c>
      <c r="J1554" s="5">
        <v>41.08</v>
      </c>
      <c r="K1554" s="5">
        <v>227.2</v>
      </c>
      <c r="L1554" s="5">
        <v>53.03</v>
      </c>
      <c r="M1554" s="5">
        <v>101.54</v>
      </c>
      <c r="N1554" s="5">
        <v>113.35</v>
      </c>
      <c r="O1554" s="5">
        <v>132.88</v>
      </c>
      <c r="P1554" s="5">
        <v>148.33000000000001</v>
      </c>
    </row>
    <row r="1555" spans="1:16" ht="15" customHeight="1" x14ac:dyDescent="0.35">
      <c r="A1555" s="1">
        <v>100</v>
      </c>
      <c r="B1555" s="5">
        <v>18.3</v>
      </c>
      <c r="C1555" s="5">
        <v>18.47</v>
      </c>
      <c r="D1555" s="5">
        <v>20.23</v>
      </c>
      <c r="E1555" s="5">
        <v>21.93</v>
      </c>
      <c r="F1555" s="5">
        <v>25.81</v>
      </c>
      <c r="G1555" s="5">
        <v>28.59</v>
      </c>
      <c r="H1555" s="5">
        <v>31.5</v>
      </c>
      <c r="I1555" s="5">
        <v>300.07</v>
      </c>
      <c r="J1555" s="5">
        <v>41.99</v>
      </c>
      <c r="K1555" s="5">
        <v>229.31</v>
      </c>
      <c r="L1555" s="5">
        <v>53.94</v>
      </c>
      <c r="M1555" s="5">
        <v>102.3</v>
      </c>
      <c r="N1555" s="5">
        <v>114.08</v>
      </c>
      <c r="O1555" s="5">
        <v>133.87</v>
      </c>
      <c r="P1555" s="5">
        <v>149.28</v>
      </c>
    </row>
    <row r="1556" spans="1:16" ht="15" customHeight="1" x14ac:dyDescent="0.35">
      <c r="A1556" s="1">
        <v>101</v>
      </c>
      <c r="B1556" s="5">
        <v>18.43</v>
      </c>
      <c r="C1556" s="5">
        <v>18.649999999999999</v>
      </c>
      <c r="D1556" s="5">
        <v>20.239999999999998</v>
      </c>
      <c r="E1556" s="5">
        <v>22.13</v>
      </c>
      <c r="F1556" s="5">
        <v>26.05</v>
      </c>
      <c r="G1556" s="5">
        <v>28.86</v>
      </c>
      <c r="H1556" s="5">
        <v>31.79</v>
      </c>
      <c r="I1556" s="5">
        <v>300.07</v>
      </c>
      <c r="J1556" s="5">
        <v>42.45</v>
      </c>
      <c r="K1556" s="5">
        <v>229.31</v>
      </c>
      <c r="L1556" s="5">
        <v>55.37</v>
      </c>
      <c r="M1556" s="5">
        <v>103.07</v>
      </c>
      <c r="N1556" s="5">
        <v>114.84</v>
      </c>
      <c r="O1556" s="5">
        <v>134.88</v>
      </c>
      <c r="P1556" s="5">
        <v>150.28</v>
      </c>
    </row>
    <row r="1557" spans="1:16" ht="15" customHeight="1" x14ac:dyDescent="0.35">
      <c r="A1557" s="1">
        <v>102</v>
      </c>
      <c r="B1557" s="5">
        <v>18.61</v>
      </c>
      <c r="C1557" s="5">
        <v>18.649999999999999</v>
      </c>
      <c r="D1557" s="5">
        <v>20.43</v>
      </c>
      <c r="E1557" s="5">
        <v>22.14</v>
      </c>
      <c r="F1557" s="5">
        <v>26.06</v>
      </c>
      <c r="G1557" s="5">
        <v>28.87</v>
      </c>
      <c r="H1557" s="5">
        <v>31.79</v>
      </c>
      <c r="I1557" s="5">
        <v>300.08</v>
      </c>
      <c r="J1557" s="5">
        <v>43.74</v>
      </c>
      <c r="K1557" s="5">
        <v>229.32</v>
      </c>
      <c r="L1557" s="5">
        <v>55.91</v>
      </c>
      <c r="M1557" s="5">
        <v>103.8</v>
      </c>
      <c r="N1557" s="5">
        <v>115.55</v>
      </c>
      <c r="O1557" s="5">
        <v>135.82</v>
      </c>
      <c r="P1557" s="5">
        <v>151.21</v>
      </c>
    </row>
    <row r="1558" spans="1:16" ht="15" customHeight="1" x14ac:dyDescent="0.35">
      <c r="A1558" s="1">
        <v>103</v>
      </c>
      <c r="B1558" s="5">
        <v>18.850000000000001</v>
      </c>
      <c r="C1558" s="5">
        <v>19.11</v>
      </c>
      <c r="D1558" s="5">
        <v>20.85</v>
      </c>
      <c r="E1558" s="5">
        <v>22.27</v>
      </c>
      <c r="F1558" s="5">
        <v>26.12</v>
      </c>
      <c r="G1558" s="5">
        <v>28.87</v>
      </c>
      <c r="H1558" s="5">
        <v>31.8</v>
      </c>
      <c r="I1558" s="5">
        <v>300.08999999999997</v>
      </c>
      <c r="J1558" s="5">
        <v>44.63</v>
      </c>
      <c r="K1558" s="5">
        <v>229.32</v>
      </c>
      <c r="L1558" s="5">
        <v>57.61</v>
      </c>
      <c r="M1558" s="5">
        <v>104.63</v>
      </c>
      <c r="N1558" s="5">
        <v>116.32</v>
      </c>
      <c r="O1558" s="5">
        <v>136.91</v>
      </c>
      <c r="P1558" s="5">
        <v>152.21</v>
      </c>
    </row>
    <row r="1559" spans="1:16" ht="15" customHeight="1" x14ac:dyDescent="0.35">
      <c r="A1559" s="1">
        <v>104</v>
      </c>
      <c r="B1559" s="5">
        <v>18.850000000000001</v>
      </c>
      <c r="C1559" s="5">
        <v>19.12</v>
      </c>
      <c r="D1559" s="5">
        <v>20.9</v>
      </c>
      <c r="E1559" s="5">
        <v>22.29</v>
      </c>
      <c r="F1559" s="5">
        <v>26.12</v>
      </c>
      <c r="G1559" s="5">
        <v>28.87</v>
      </c>
      <c r="H1559" s="5">
        <v>31.8</v>
      </c>
      <c r="I1559" s="5">
        <v>300.12</v>
      </c>
      <c r="J1559" s="5">
        <v>46.38</v>
      </c>
      <c r="K1559" s="5">
        <v>229.35</v>
      </c>
      <c r="L1559" s="5">
        <v>57.62</v>
      </c>
      <c r="M1559" s="5">
        <v>105.46</v>
      </c>
      <c r="N1559" s="5">
        <v>117.04</v>
      </c>
      <c r="O1559" s="5">
        <v>138.01</v>
      </c>
      <c r="P1559" s="5">
        <v>153.16</v>
      </c>
    </row>
    <row r="1560" spans="1:16" ht="15" customHeight="1" x14ac:dyDescent="0.35">
      <c r="A1560" s="1">
        <v>105</v>
      </c>
      <c r="B1560" s="5">
        <v>19.53</v>
      </c>
      <c r="C1560" s="5">
        <v>19.68</v>
      </c>
      <c r="D1560" s="5">
        <v>21.34</v>
      </c>
      <c r="E1560" s="5">
        <v>22.97</v>
      </c>
      <c r="F1560" s="5">
        <v>26.77</v>
      </c>
      <c r="G1560" s="5">
        <v>29.54</v>
      </c>
      <c r="H1560" s="5">
        <v>32.58</v>
      </c>
      <c r="I1560" s="5">
        <v>302.79000000000002</v>
      </c>
      <c r="J1560" s="5">
        <v>46.84</v>
      </c>
      <c r="K1560" s="5">
        <v>231.39</v>
      </c>
      <c r="L1560" s="5">
        <v>58.54</v>
      </c>
      <c r="M1560" s="5">
        <v>106.28</v>
      </c>
      <c r="N1560" s="5">
        <v>117.78</v>
      </c>
      <c r="O1560" s="5">
        <v>139.08000000000001</v>
      </c>
      <c r="P1560" s="5">
        <v>154.13</v>
      </c>
    </row>
    <row r="1561" spans="1:16" ht="15" customHeight="1" x14ac:dyDescent="0.35">
      <c r="A1561" s="1">
        <v>106</v>
      </c>
      <c r="B1561" s="5">
        <v>19.66</v>
      </c>
      <c r="C1561" s="5">
        <v>19.68</v>
      </c>
      <c r="D1561" s="5">
        <v>21.35</v>
      </c>
      <c r="E1561" s="5">
        <v>22.97</v>
      </c>
      <c r="F1561" s="5">
        <v>26.77</v>
      </c>
      <c r="G1561" s="5">
        <v>29.54</v>
      </c>
      <c r="H1561" s="5">
        <v>32.58</v>
      </c>
      <c r="I1561" s="5">
        <v>305.60000000000002</v>
      </c>
      <c r="J1561" s="5">
        <v>46.84</v>
      </c>
      <c r="K1561" s="5">
        <v>233.53</v>
      </c>
      <c r="L1561" s="5">
        <v>59.48</v>
      </c>
      <c r="M1561" s="5">
        <v>107.05</v>
      </c>
      <c r="N1561" s="5">
        <v>118.52</v>
      </c>
      <c r="O1561" s="5">
        <v>140.08000000000001</v>
      </c>
      <c r="P1561" s="5">
        <v>155.09</v>
      </c>
    </row>
    <row r="1562" spans="1:16" ht="15" customHeight="1" x14ac:dyDescent="0.35">
      <c r="A1562" s="1">
        <v>107</v>
      </c>
      <c r="B1562" s="5">
        <v>19.77</v>
      </c>
      <c r="C1562" s="5">
        <v>19.95</v>
      </c>
      <c r="D1562" s="5">
        <v>21.63</v>
      </c>
      <c r="E1562" s="5">
        <v>23.22</v>
      </c>
      <c r="F1562" s="5">
        <v>26.78</v>
      </c>
      <c r="G1562" s="5">
        <v>29.76</v>
      </c>
      <c r="H1562" s="5">
        <v>32.840000000000003</v>
      </c>
      <c r="I1562" s="5">
        <v>308.42</v>
      </c>
      <c r="J1562" s="5">
        <v>48.15</v>
      </c>
      <c r="K1562" s="5">
        <v>235.69</v>
      </c>
      <c r="L1562" s="5">
        <v>60.72</v>
      </c>
      <c r="M1562" s="5">
        <v>107.78</v>
      </c>
      <c r="N1562" s="5">
        <v>119.21</v>
      </c>
      <c r="O1562" s="5">
        <v>141.04</v>
      </c>
      <c r="P1562" s="5">
        <v>156</v>
      </c>
    </row>
    <row r="1563" spans="1:16" ht="15" customHeight="1" x14ac:dyDescent="0.35">
      <c r="A1563" s="1">
        <v>108</v>
      </c>
      <c r="B1563" s="5">
        <v>20.05</v>
      </c>
      <c r="C1563" s="5">
        <v>20.170000000000002</v>
      </c>
      <c r="D1563" s="5">
        <v>21.84</v>
      </c>
      <c r="E1563" s="5">
        <v>23.22</v>
      </c>
      <c r="F1563" s="5">
        <v>27.02</v>
      </c>
      <c r="G1563" s="5">
        <v>29.77</v>
      </c>
      <c r="H1563" s="5">
        <v>32.840000000000003</v>
      </c>
      <c r="I1563" s="5">
        <v>311.23</v>
      </c>
      <c r="J1563" s="5">
        <v>48.6</v>
      </c>
      <c r="K1563" s="5">
        <v>237.84</v>
      </c>
      <c r="L1563" s="5">
        <v>62.47</v>
      </c>
      <c r="M1563" s="5">
        <v>108.53</v>
      </c>
      <c r="N1563" s="5">
        <v>119.96</v>
      </c>
      <c r="O1563" s="5">
        <v>142.02000000000001</v>
      </c>
      <c r="P1563" s="5">
        <v>156.97999999999999</v>
      </c>
    </row>
    <row r="1564" spans="1:16" ht="15" customHeight="1" x14ac:dyDescent="0.35">
      <c r="A1564" s="1">
        <v>109</v>
      </c>
      <c r="B1564" s="5">
        <v>20.65</v>
      </c>
      <c r="C1564" s="5">
        <v>20.66</v>
      </c>
      <c r="D1564" s="5">
        <v>22.11</v>
      </c>
      <c r="E1564" s="5">
        <v>23.67</v>
      </c>
      <c r="F1564" s="5">
        <v>27.25</v>
      </c>
      <c r="G1564" s="5">
        <v>30.3</v>
      </c>
      <c r="H1564" s="5">
        <v>33.44</v>
      </c>
      <c r="I1564" s="5">
        <v>313.89</v>
      </c>
      <c r="J1564" s="5">
        <v>49.49</v>
      </c>
      <c r="K1564" s="5">
        <v>239.87</v>
      </c>
      <c r="L1564" s="5">
        <v>62.48</v>
      </c>
      <c r="M1564" s="5">
        <v>109.24</v>
      </c>
      <c r="N1564" s="5">
        <v>120.7</v>
      </c>
      <c r="O1564" s="5">
        <v>142.94999999999999</v>
      </c>
      <c r="P1564" s="5">
        <v>157.94999999999999</v>
      </c>
    </row>
    <row r="1565" spans="1:16" ht="15" customHeight="1" x14ac:dyDescent="0.35">
      <c r="A1565" s="1">
        <v>110</v>
      </c>
      <c r="B1565" s="5">
        <v>21.01</v>
      </c>
      <c r="C1565" s="5">
        <v>21.15</v>
      </c>
      <c r="D1565" s="5">
        <v>22.58</v>
      </c>
      <c r="E1565" s="5">
        <v>24.13</v>
      </c>
      <c r="F1565" s="5">
        <v>28.01</v>
      </c>
      <c r="G1565" s="5">
        <v>30.87</v>
      </c>
      <c r="H1565" s="5">
        <v>34.06</v>
      </c>
      <c r="I1565" s="5">
        <v>316.54000000000002</v>
      </c>
      <c r="J1565" s="5">
        <v>50.37</v>
      </c>
      <c r="K1565" s="5">
        <v>241.89</v>
      </c>
      <c r="L1565" s="5">
        <v>63.76</v>
      </c>
      <c r="M1565" s="5">
        <v>110.12</v>
      </c>
      <c r="N1565" s="5">
        <v>121.45</v>
      </c>
      <c r="O1565" s="5">
        <v>144.11000000000001</v>
      </c>
      <c r="P1565" s="5">
        <v>158.93</v>
      </c>
    </row>
    <row r="1566" spans="1:16" ht="15" customHeight="1" x14ac:dyDescent="0.35">
      <c r="A1566" s="1">
        <v>111</v>
      </c>
      <c r="B1566" s="5">
        <v>21.01</v>
      </c>
      <c r="C1566" s="5">
        <v>21.18</v>
      </c>
      <c r="D1566" s="5">
        <v>23.07</v>
      </c>
      <c r="E1566" s="5">
        <v>24.36</v>
      </c>
      <c r="F1566" s="5">
        <v>28.01</v>
      </c>
      <c r="G1566" s="5">
        <v>31.09</v>
      </c>
      <c r="H1566" s="5">
        <v>34.46</v>
      </c>
      <c r="I1566" s="5">
        <v>320.14999999999998</v>
      </c>
      <c r="J1566" s="5">
        <v>51.21</v>
      </c>
      <c r="K1566" s="5">
        <v>244.65</v>
      </c>
      <c r="L1566" s="5">
        <v>64.680000000000007</v>
      </c>
      <c r="M1566" s="5">
        <v>110.95</v>
      </c>
      <c r="N1566" s="5">
        <v>122.16</v>
      </c>
      <c r="O1566" s="5">
        <v>145.18</v>
      </c>
      <c r="P1566" s="5">
        <v>159.85</v>
      </c>
    </row>
    <row r="1567" spans="1:16" ht="15" customHeight="1" x14ac:dyDescent="0.35">
      <c r="A1567" s="1">
        <v>112</v>
      </c>
      <c r="B1567" s="5">
        <v>21.26</v>
      </c>
      <c r="C1567" s="5">
        <v>21.62</v>
      </c>
      <c r="D1567" s="5">
        <v>23.08</v>
      </c>
      <c r="E1567" s="5">
        <v>24.36</v>
      </c>
      <c r="F1567" s="5">
        <v>28.23</v>
      </c>
      <c r="G1567" s="5">
        <v>31.09</v>
      </c>
      <c r="H1567" s="5">
        <v>34.47</v>
      </c>
      <c r="I1567" s="5">
        <v>323.76</v>
      </c>
      <c r="J1567" s="5">
        <v>52.61</v>
      </c>
      <c r="K1567" s="5">
        <v>247.41</v>
      </c>
      <c r="L1567" s="5">
        <v>65.03</v>
      </c>
      <c r="M1567" s="5">
        <v>111.76</v>
      </c>
      <c r="N1567" s="5">
        <v>122.96</v>
      </c>
      <c r="O1567" s="5">
        <v>146.25</v>
      </c>
      <c r="P1567" s="5">
        <v>160.9</v>
      </c>
    </row>
    <row r="1568" spans="1:16" ht="15" customHeight="1" x14ac:dyDescent="0.35">
      <c r="A1568" s="1">
        <v>113</v>
      </c>
      <c r="B1568" s="5">
        <v>21.26</v>
      </c>
      <c r="C1568" s="5">
        <v>21.62</v>
      </c>
      <c r="D1568" s="5">
        <v>23.33</v>
      </c>
      <c r="E1568" s="5">
        <v>24.59</v>
      </c>
      <c r="F1568" s="5">
        <v>28.23</v>
      </c>
      <c r="G1568" s="5">
        <v>31.09</v>
      </c>
      <c r="H1568" s="5">
        <v>34.76</v>
      </c>
      <c r="I1568" s="5">
        <v>326.57</v>
      </c>
      <c r="J1568" s="5">
        <v>52.96</v>
      </c>
      <c r="K1568" s="5">
        <v>249.56</v>
      </c>
      <c r="L1568" s="5">
        <v>66.27</v>
      </c>
      <c r="M1568" s="5">
        <v>112.49</v>
      </c>
      <c r="N1568" s="5">
        <v>123.83</v>
      </c>
      <c r="O1568" s="5">
        <v>147.19999999999999</v>
      </c>
      <c r="P1568" s="5">
        <v>162.04</v>
      </c>
    </row>
    <row r="1569" spans="1:16" ht="15" customHeight="1" x14ac:dyDescent="0.35">
      <c r="A1569" s="1">
        <v>114</v>
      </c>
      <c r="B1569" s="5">
        <v>21.48</v>
      </c>
      <c r="C1569" s="5">
        <v>22.09</v>
      </c>
      <c r="D1569" s="5">
        <v>23.82</v>
      </c>
      <c r="E1569" s="5">
        <v>25.07</v>
      </c>
      <c r="F1569" s="5">
        <v>28.98</v>
      </c>
      <c r="G1569" s="5">
        <v>31.87</v>
      </c>
      <c r="H1569" s="5">
        <v>35.32</v>
      </c>
      <c r="I1569" s="5">
        <v>329.41</v>
      </c>
      <c r="J1569" s="5">
        <v>53.48</v>
      </c>
      <c r="K1569" s="5">
        <v>251.73</v>
      </c>
      <c r="L1569" s="5">
        <v>67.14</v>
      </c>
      <c r="M1569" s="5">
        <v>113.27</v>
      </c>
      <c r="N1569" s="5">
        <v>124.62</v>
      </c>
      <c r="O1569" s="5">
        <v>148.22</v>
      </c>
      <c r="P1569" s="5">
        <v>163.08000000000001</v>
      </c>
    </row>
    <row r="1570" spans="1:16" ht="15" customHeight="1" x14ac:dyDescent="0.35">
      <c r="A1570" s="1">
        <v>115</v>
      </c>
      <c r="B1570" s="5">
        <v>22.14</v>
      </c>
      <c r="C1570" s="5">
        <v>22.42</v>
      </c>
      <c r="D1570" s="5">
        <v>23.83</v>
      </c>
      <c r="E1570" s="5">
        <v>25.37</v>
      </c>
      <c r="F1570" s="5">
        <v>28.99</v>
      </c>
      <c r="G1570" s="5">
        <v>32.17</v>
      </c>
      <c r="H1570" s="5">
        <v>35.33</v>
      </c>
      <c r="I1570" s="5">
        <v>332.21</v>
      </c>
      <c r="J1570" s="5">
        <v>54.69</v>
      </c>
      <c r="K1570" s="5">
        <v>253.87</v>
      </c>
      <c r="L1570" s="5">
        <v>67.77</v>
      </c>
      <c r="M1570" s="5">
        <v>114.01</v>
      </c>
      <c r="N1570" s="5">
        <v>125.42</v>
      </c>
      <c r="O1570" s="5">
        <v>149.19999999999999</v>
      </c>
      <c r="P1570" s="5">
        <v>164.13</v>
      </c>
    </row>
    <row r="1571" spans="1:16" ht="15" customHeight="1" x14ac:dyDescent="0.35">
      <c r="A1571" s="1">
        <v>116</v>
      </c>
      <c r="B1571" s="5">
        <v>22.14</v>
      </c>
      <c r="C1571" s="5">
        <v>22.42</v>
      </c>
      <c r="D1571" s="5">
        <v>24.12</v>
      </c>
      <c r="E1571" s="5">
        <v>25.37</v>
      </c>
      <c r="F1571" s="5">
        <v>29.41</v>
      </c>
      <c r="G1571" s="5">
        <v>32.58</v>
      </c>
      <c r="H1571" s="5">
        <v>35.880000000000003</v>
      </c>
      <c r="I1571" s="5">
        <v>334.3</v>
      </c>
      <c r="J1571" s="5">
        <v>55.62</v>
      </c>
      <c r="K1571" s="5">
        <v>255.46</v>
      </c>
      <c r="L1571" s="5">
        <v>70.03</v>
      </c>
      <c r="M1571" s="5">
        <v>115.56</v>
      </c>
      <c r="N1571" s="5">
        <v>126.29</v>
      </c>
      <c r="O1571" s="5">
        <v>151.22</v>
      </c>
      <c r="P1571" s="5">
        <v>165.26</v>
      </c>
    </row>
    <row r="1572" spans="1:16" ht="15" customHeight="1" x14ac:dyDescent="0.35">
      <c r="A1572" s="1">
        <v>117</v>
      </c>
      <c r="B1572" s="5">
        <v>22.16</v>
      </c>
      <c r="C1572" s="5">
        <v>22.64</v>
      </c>
      <c r="D1572" s="5">
        <v>24.35</v>
      </c>
      <c r="E1572" s="5">
        <v>25.71</v>
      </c>
      <c r="F1572" s="5">
        <v>29.41</v>
      </c>
      <c r="G1572" s="5">
        <v>32.58</v>
      </c>
      <c r="H1572" s="5">
        <v>36.11</v>
      </c>
      <c r="I1572" s="5">
        <v>336.95</v>
      </c>
      <c r="J1572" s="5">
        <v>55.96</v>
      </c>
      <c r="K1572" s="5">
        <v>257.49</v>
      </c>
      <c r="L1572" s="5">
        <v>70.040000000000006</v>
      </c>
      <c r="M1572" s="5">
        <v>115.56</v>
      </c>
      <c r="N1572" s="5">
        <v>127.1</v>
      </c>
      <c r="O1572" s="5">
        <v>151.22</v>
      </c>
      <c r="P1572" s="5">
        <v>166.33</v>
      </c>
    </row>
    <row r="1573" spans="1:16" ht="15" customHeight="1" x14ac:dyDescent="0.35">
      <c r="A1573" s="1">
        <v>118</v>
      </c>
      <c r="B1573" s="5">
        <v>22.4</v>
      </c>
      <c r="C1573" s="5">
        <v>22.9</v>
      </c>
      <c r="D1573" s="5">
        <v>24.37</v>
      </c>
      <c r="E1573" s="5">
        <v>25.79</v>
      </c>
      <c r="F1573" s="5">
        <v>29.63</v>
      </c>
      <c r="G1573" s="5">
        <v>32.58</v>
      </c>
      <c r="H1573" s="5">
        <v>36.729999999999997</v>
      </c>
      <c r="I1573" s="5">
        <v>339.61</v>
      </c>
      <c r="J1573" s="5">
        <v>57.92</v>
      </c>
      <c r="K1573" s="5">
        <v>259.52</v>
      </c>
      <c r="L1573" s="5">
        <v>71.239999999999995</v>
      </c>
      <c r="M1573" s="5">
        <v>116.41</v>
      </c>
      <c r="N1573" s="5">
        <v>127.88</v>
      </c>
      <c r="O1573" s="5">
        <v>152.33000000000001</v>
      </c>
      <c r="P1573" s="5">
        <v>167.34</v>
      </c>
    </row>
    <row r="1574" spans="1:16" ht="15" customHeight="1" x14ac:dyDescent="0.35">
      <c r="A1574" s="1">
        <v>119</v>
      </c>
      <c r="B1574" s="5">
        <v>23.06</v>
      </c>
      <c r="C1574" s="5">
        <v>23.37</v>
      </c>
      <c r="D1574" s="5">
        <v>25.1</v>
      </c>
      <c r="E1574" s="5">
        <v>26.18</v>
      </c>
      <c r="F1574" s="5">
        <v>29.63</v>
      </c>
      <c r="G1574" s="5">
        <v>32.840000000000003</v>
      </c>
      <c r="H1574" s="5">
        <v>36.74</v>
      </c>
      <c r="I1574" s="5">
        <v>344.53</v>
      </c>
      <c r="J1574" s="5">
        <v>57.93</v>
      </c>
      <c r="K1574" s="5">
        <v>263.27999999999997</v>
      </c>
      <c r="L1574" s="5">
        <v>71.25</v>
      </c>
      <c r="M1574" s="5">
        <v>117.24</v>
      </c>
      <c r="N1574" s="5">
        <v>128.66</v>
      </c>
      <c r="O1574" s="5">
        <v>153.41999999999999</v>
      </c>
      <c r="P1574" s="5">
        <v>168.37</v>
      </c>
    </row>
    <row r="1575" spans="1:16" ht="15" customHeight="1" x14ac:dyDescent="0.35">
      <c r="A1575" s="1">
        <v>120</v>
      </c>
      <c r="B1575" s="5">
        <v>23.69</v>
      </c>
      <c r="C1575" s="5">
        <v>23.71</v>
      </c>
      <c r="D1575" s="5">
        <v>25.13</v>
      </c>
      <c r="E1575" s="5">
        <v>26.36</v>
      </c>
      <c r="F1575" s="5">
        <v>30.15</v>
      </c>
      <c r="G1575" s="5">
        <v>33.270000000000003</v>
      </c>
      <c r="H1575" s="5">
        <v>36.74</v>
      </c>
      <c r="I1575" s="5">
        <v>347.35</v>
      </c>
      <c r="J1575" s="5">
        <v>59.73</v>
      </c>
      <c r="K1575" s="5">
        <v>265.44</v>
      </c>
      <c r="L1575" s="5">
        <v>73.55</v>
      </c>
      <c r="M1575" s="5">
        <v>118.04</v>
      </c>
      <c r="N1575" s="5">
        <v>129.4</v>
      </c>
      <c r="O1575" s="5">
        <v>154.47</v>
      </c>
      <c r="P1575" s="5">
        <v>169.33</v>
      </c>
    </row>
    <row r="1576" spans="1:16" ht="15" customHeight="1" x14ac:dyDescent="0.35">
      <c r="A1576" s="1">
        <v>121</v>
      </c>
      <c r="B1576" s="5">
        <v>23.69</v>
      </c>
      <c r="C1576" s="5">
        <v>23.71</v>
      </c>
      <c r="D1576" s="5">
        <v>25.13</v>
      </c>
      <c r="E1576" s="5">
        <v>26.36</v>
      </c>
      <c r="F1576" s="5">
        <v>30.34</v>
      </c>
      <c r="G1576" s="5">
        <v>33.270000000000003</v>
      </c>
      <c r="H1576" s="5">
        <v>36.74</v>
      </c>
      <c r="I1576" s="5">
        <v>349.67</v>
      </c>
      <c r="J1576" s="5">
        <v>59.73</v>
      </c>
      <c r="K1576" s="5">
        <v>267.20999999999998</v>
      </c>
      <c r="L1576" s="5">
        <v>74.260000000000005</v>
      </c>
      <c r="M1576" s="5">
        <v>118.91</v>
      </c>
      <c r="N1576" s="5">
        <v>130.12</v>
      </c>
      <c r="O1576" s="5">
        <v>155.6</v>
      </c>
      <c r="P1576" s="5">
        <v>170.28</v>
      </c>
    </row>
    <row r="1577" spans="1:16" ht="15" customHeight="1" x14ac:dyDescent="0.35">
      <c r="A1577" s="1">
        <v>122</v>
      </c>
      <c r="B1577" s="5">
        <v>23.7</v>
      </c>
      <c r="C1577" s="5">
        <v>24.17</v>
      </c>
      <c r="D1577" s="5">
        <v>25.38</v>
      </c>
      <c r="E1577" s="5">
        <v>26.6</v>
      </c>
      <c r="F1577" s="5">
        <v>30.58</v>
      </c>
      <c r="G1577" s="5">
        <v>33.799999999999997</v>
      </c>
      <c r="H1577" s="5">
        <v>37.39</v>
      </c>
      <c r="I1577" s="5">
        <v>355.95</v>
      </c>
      <c r="J1577" s="5">
        <v>61.5</v>
      </c>
      <c r="K1577" s="5">
        <v>272.01</v>
      </c>
      <c r="L1577" s="5">
        <v>74.97</v>
      </c>
      <c r="M1577" s="5">
        <v>119.73</v>
      </c>
      <c r="N1577" s="5">
        <v>130.83000000000001</v>
      </c>
      <c r="O1577" s="5">
        <v>156.66999999999999</v>
      </c>
      <c r="P1577" s="5">
        <v>171.21</v>
      </c>
    </row>
    <row r="1578" spans="1:16" ht="15" customHeight="1" x14ac:dyDescent="0.35">
      <c r="A1578" s="1">
        <v>123</v>
      </c>
      <c r="B1578" s="5">
        <v>23.91</v>
      </c>
      <c r="C1578" s="5">
        <v>24.19</v>
      </c>
      <c r="D1578" s="5">
        <v>26.14</v>
      </c>
      <c r="E1578" s="5">
        <v>27.33</v>
      </c>
      <c r="F1578" s="5">
        <v>30.82</v>
      </c>
      <c r="G1578" s="5">
        <v>34.42</v>
      </c>
      <c r="H1578" s="5">
        <v>37.89</v>
      </c>
      <c r="I1578" s="5">
        <v>355.96</v>
      </c>
      <c r="J1578" s="5">
        <v>61.51</v>
      </c>
      <c r="K1578" s="5">
        <v>272.02</v>
      </c>
      <c r="L1578" s="5">
        <v>75</v>
      </c>
      <c r="M1578" s="5">
        <v>120.54</v>
      </c>
      <c r="N1578" s="5">
        <v>131.59</v>
      </c>
      <c r="O1578" s="5">
        <v>157.72999999999999</v>
      </c>
      <c r="P1578" s="5">
        <v>172.19</v>
      </c>
    </row>
    <row r="1579" spans="1:16" ht="15" customHeight="1" x14ac:dyDescent="0.35">
      <c r="A1579" s="1">
        <v>124</v>
      </c>
      <c r="B1579" s="5">
        <v>23.91</v>
      </c>
      <c r="C1579" s="5">
        <v>24.43</v>
      </c>
      <c r="D1579" s="5">
        <v>26.42</v>
      </c>
      <c r="E1579" s="5">
        <v>27.33</v>
      </c>
      <c r="F1579" s="5">
        <v>31.02</v>
      </c>
      <c r="G1579" s="5">
        <v>34.42</v>
      </c>
      <c r="H1579" s="5">
        <v>37.9</v>
      </c>
      <c r="I1579" s="5">
        <v>358.6</v>
      </c>
      <c r="J1579" s="5">
        <v>62.01</v>
      </c>
      <c r="K1579" s="5">
        <v>274.02999999999997</v>
      </c>
      <c r="L1579" s="5">
        <v>77.540000000000006</v>
      </c>
      <c r="M1579" s="5">
        <v>121.36</v>
      </c>
      <c r="N1579" s="5">
        <v>132.31</v>
      </c>
      <c r="O1579" s="5">
        <v>158.81</v>
      </c>
      <c r="P1579" s="5">
        <v>173.14</v>
      </c>
    </row>
    <row r="1580" spans="1:16" ht="15" customHeight="1" x14ac:dyDescent="0.35">
      <c r="A1580" s="1">
        <v>125</v>
      </c>
      <c r="B1580" s="5">
        <v>24.14</v>
      </c>
      <c r="C1580" s="5">
        <v>24.43</v>
      </c>
      <c r="D1580" s="5">
        <v>26.42</v>
      </c>
      <c r="E1580" s="5">
        <v>27.33</v>
      </c>
      <c r="F1580" s="5">
        <v>31.02</v>
      </c>
      <c r="G1580" s="5">
        <v>34.42</v>
      </c>
      <c r="H1580" s="5">
        <v>37.9</v>
      </c>
      <c r="I1580" s="5">
        <v>361.6</v>
      </c>
      <c r="J1580" s="5">
        <v>63.53</v>
      </c>
      <c r="K1580" s="5">
        <v>276.33</v>
      </c>
      <c r="L1580" s="5">
        <v>78.28</v>
      </c>
      <c r="M1580" s="5">
        <v>122.19</v>
      </c>
      <c r="N1580" s="5">
        <v>133.07</v>
      </c>
      <c r="O1580" s="5">
        <v>159.9</v>
      </c>
      <c r="P1580" s="5">
        <v>174.13</v>
      </c>
    </row>
    <row r="1581" spans="1:16" ht="15" customHeight="1" x14ac:dyDescent="0.35">
      <c r="A1581" s="1">
        <v>126</v>
      </c>
      <c r="B1581" s="5">
        <v>24.62</v>
      </c>
      <c r="C1581" s="5">
        <v>24.67</v>
      </c>
      <c r="D1581" s="5">
        <v>26.69</v>
      </c>
      <c r="E1581" s="5">
        <v>27.33</v>
      </c>
      <c r="F1581" s="5">
        <v>31.21</v>
      </c>
      <c r="G1581" s="5">
        <v>34.43</v>
      </c>
      <c r="H1581" s="5">
        <v>39.24</v>
      </c>
      <c r="I1581" s="5">
        <v>363.84</v>
      </c>
      <c r="J1581" s="5">
        <v>64.39</v>
      </c>
      <c r="K1581" s="5">
        <v>278.04000000000002</v>
      </c>
      <c r="L1581" s="5">
        <v>78.650000000000006</v>
      </c>
      <c r="M1581" s="5">
        <v>123.07</v>
      </c>
      <c r="N1581" s="5">
        <v>133.77000000000001</v>
      </c>
      <c r="O1581" s="5">
        <v>161.05000000000001</v>
      </c>
      <c r="P1581" s="5">
        <v>175.05</v>
      </c>
    </row>
    <row r="1582" spans="1:16" ht="15" customHeight="1" x14ac:dyDescent="0.35">
      <c r="A1582" s="1">
        <v>127</v>
      </c>
      <c r="B1582" s="5">
        <v>24.63</v>
      </c>
      <c r="C1582" s="5">
        <v>25.1</v>
      </c>
      <c r="D1582" s="5">
        <v>27.21</v>
      </c>
      <c r="E1582" s="5">
        <v>27.96</v>
      </c>
      <c r="F1582" s="5">
        <v>31.92</v>
      </c>
      <c r="G1582" s="5">
        <v>35.049999999999997</v>
      </c>
      <c r="H1582" s="5">
        <v>39.24</v>
      </c>
      <c r="I1582" s="5">
        <v>366.79</v>
      </c>
      <c r="J1582" s="5">
        <v>65.87</v>
      </c>
      <c r="K1582" s="5">
        <v>280.3</v>
      </c>
      <c r="L1582" s="5">
        <v>78.83</v>
      </c>
      <c r="M1582" s="5">
        <v>123.87</v>
      </c>
      <c r="N1582" s="5">
        <v>134.54</v>
      </c>
      <c r="O1582" s="5">
        <v>162.09</v>
      </c>
      <c r="P1582" s="5">
        <v>176.05</v>
      </c>
    </row>
    <row r="1583" spans="1:16" ht="15" customHeight="1" x14ac:dyDescent="0.35">
      <c r="A1583" s="1">
        <v>128</v>
      </c>
      <c r="B1583" s="5">
        <v>24.86</v>
      </c>
      <c r="C1583" s="5">
        <v>25.1</v>
      </c>
      <c r="D1583" s="5">
        <v>27.21</v>
      </c>
      <c r="E1583" s="5">
        <v>27.96</v>
      </c>
      <c r="F1583" s="5">
        <v>31.92</v>
      </c>
      <c r="G1583" s="5">
        <v>35.049999999999997</v>
      </c>
      <c r="H1583" s="5">
        <v>39.450000000000003</v>
      </c>
      <c r="I1583" s="5">
        <v>369.78</v>
      </c>
      <c r="J1583" s="5">
        <v>66.78</v>
      </c>
      <c r="K1583" s="5">
        <v>282.58</v>
      </c>
      <c r="L1583" s="5">
        <v>79.59</v>
      </c>
      <c r="M1583" s="5">
        <v>124.71</v>
      </c>
      <c r="N1583" s="5">
        <v>135.36000000000001</v>
      </c>
      <c r="O1583" s="5">
        <v>163.19999999999999</v>
      </c>
      <c r="P1583" s="5">
        <v>177.13</v>
      </c>
    </row>
    <row r="1584" spans="1:16" ht="15" customHeight="1" x14ac:dyDescent="0.35">
      <c r="A1584" s="1">
        <v>129</v>
      </c>
      <c r="B1584" s="5">
        <v>25.33</v>
      </c>
      <c r="C1584" s="5">
        <v>25.43</v>
      </c>
      <c r="D1584" s="5">
        <v>27.22</v>
      </c>
      <c r="E1584" s="5">
        <v>28.15</v>
      </c>
      <c r="F1584" s="5">
        <v>31.92</v>
      </c>
      <c r="G1584" s="5">
        <v>35.06</v>
      </c>
      <c r="H1584" s="5">
        <v>39.83</v>
      </c>
      <c r="I1584" s="5">
        <v>372.76</v>
      </c>
      <c r="J1584" s="5">
        <v>66.790000000000006</v>
      </c>
      <c r="K1584" s="5">
        <v>284.86</v>
      </c>
      <c r="L1584" s="5">
        <v>80.64</v>
      </c>
      <c r="M1584" s="5">
        <v>124.72</v>
      </c>
      <c r="N1584" s="5">
        <v>136.13999999999999</v>
      </c>
      <c r="O1584" s="5">
        <v>163.19999999999999</v>
      </c>
      <c r="P1584" s="5">
        <v>178.16</v>
      </c>
    </row>
    <row r="1585" spans="1:16" ht="15" customHeight="1" x14ac:dyDescent="0.35">
      <c r="A1585" s="1">
        <v>130</v>
      </c>
      <c r="B1585" s="5">
        <v>25.43</v>
      </c>
      <c r="C1585" s="5">
        <v>25.43</v>
      </c>
      <c r="D1585" s="5">
        <v>27.46</v>
      </c>
      <c r="E1585" s="5">
        <v>28.15</v>
      </c>
      <c r="F1585" s="5">
        <v>32.15</v>
      </c>
      <c r="G1585" s="5">
        <v>35.51</v>
      </c>
      <c r="H1585" s="5">
        <v>40.74</v>
      </c>
      <c r="I1585" s="5">
        <v>382.98</v>
      </c>
      <c r="J1585" s="5">
        <v>69.86</v>
      </c>
      <c r="K1585" s="5">
        <v>292.67</v>
      </c>
      <c r="L1585" s="5">
        <v>82.41</v>
      </c>
      <c r="M1585" s="5">
        <v>126.35</v>
      </c>
      <c r="N1585" s="5">
        <v>136.96</v>
      </c>
      <c r="O1585" s="5">
        <v>165.34</v>
      </c>
      <c r="P1585" s="5">
        <v>179.22</v>
      </c>
    </row>
    <row r="1586" spans="1:16" ht="15" customHeight="1" x14ac:dyDescent="0.35">
      <c r="A1586" s="1">
        <v>131</v>
      </c>
      <c r="B1586" s="5">
        <v>25.57</v>
      </c>
      <c r="C1586" s="5">
        <v>25.83</v>
      </c>
      <c r="D1586" s="5">
        <v>27.99</v>
      </c>
      <c r="E1586" s="5">
        <v>28.61</v>
      </c>
      <c r="F1586" s="5">
        <v>32.630000000000003</v>
      </c>
      <c r="G1586" s="5">
        <v>35.85</v>
      </c>
      <c r="H1586" s="5">
        <v>40.93</v>
      </c>
      <c r="I1586" s="5">
        <v>382.99</v>
      </c>
      <c r="J1586" s="5">
        <v>69.86</v>
      </c>
      <c r="K1586" s="5">
        <v>292.67</v>
      </c>
      <c r="L1586" s="5">
        <v>82.41</v>
      </c>
      <c r="M1586" s="5">
        <v>127.19</v>
      </c>
      <c r="N1586" s="5">
        <v>138.62</v>
      </c>
      <c r="O1586" s="5">
        <v>166.43</v>
      </c>
      <c r="P1586" s="5">
        <v>181.4</v>
      </c>
    </row>
    <row r="1587" spans="1:16" ht="15" customHeight="1" x14ac:dyDescent="0.35">
      <c r="A1587" s="1">
        <v>132</v>
      </c>
      <c r="B1587" s="5">
        <v>25.84</v>
      </c>
      <c r="C1587" s="5">
        <v>25.84</v>
      </c>
      <c r="D1587" s="5">
        <v>27.99</v>
      </c>
      <c r="E1587" s="5">
        <v>28.8</v>
      </c>
      <c r="F1587" s="5">
        <v>32.630000000000003</v>
      </c>
      <c r="G1587" s="5">
        <v>35.85</v>
      </c>
      <c r="H1587" s="5">
        <v>40.93</v>
      </c>
      <c r="I1587" s="5">
        <v>386.42</v>
      </c>
      <c r="J1587" s="5">
        <v>70.09</v>
      </c>
      <c r="K1587" s="5">
        <v>295.3</v>
      </c>
      <c r="L1587" s="5">
        <v>82.42</v>
      </c>
      <c r="M1587" s="5">
        <v>128.03</v>
      </c>
      <c r="N1587" s="5">
        <v>138.63</v>
      </c>
      <c r="O1587" s="5">
        <v>167.54</v>
      </c>
      <c r="P1587" s="5">
        <v>181.41</v>
      </c>
    </row>
    <row r="1588" spans="1:16" ht="15" customHeight="1" x14ac:dyDescent="0.35">
      <c r="A1588" s="1">
        <v>133</v>
      </c>
      <c r="B1588" s="5">
        <v>26.06</v>
      </c>
      <c r="C1588" s="5">
        <v>26.13</v>
      </c>
      <c r="D1588" s="5">
        <v>27.99</v>
      </c>
      <c r="E1588" s="5">
        <v>28.81</v>
      </c>
      <c r="F1588" s="5">
        <v>32.799999999999997</v>
      </c>
      <c r="G1588" s="5">
        <v>35.85</v>
      </c>
      <c r="H1588" s="5">
        <v>40.93</v>
      </c>
      <c r="I1588" s="5">
        <v>388.75</v>
      </c>
      <c r="J1588" s="5">
        <v>70.09</v>
      </c>
      <c r="K1588" s="5">
        <v>297.07</v>
      </c>
      <c r="L1588" s="5">
        <v>84.37</v>
      </c>
      <c r="M1588" s="5">
        <v>128.83000000000001</v>
      </c>
      <c r="N1588" s="5">
        <v>139.43</v>
      </c>
      <c r="O1588" s="5">
        <v>168.59</v>
      </c>
      <c r="P1588" s="5">
        <v>182.46</v>
      </c>
    </row>
    <row r="1589" spans="1:16" ht="15" customHeight="1" x14ac:dyDescent="0.35">
      <c r="A1589" s="1">
        <v>134</v>
      </c>
      <c r="B1589" s="5">
        <v>26.54</v>
      </c>
      <c r="C1589" s="5">
        <v>26.57</v>
      </c>
      <c r="D1589" s="5">
        <v>28.54</v>
      </c>
      <c r="E1589" s="5">
        <v>29.32</v>
      </c>
      <c r="F1589" s="5">
        <v>33.369999999999997</v>
      </c>
      <c r="G1589" s="5">
        <v>36.44</v>
      </c>
      <c r="H1589" s="5">
        <v>40.94</v>
      </c>
      <c r="I1589" s="5">
        <v>388.76</v>
      </c>
      <c r="J1589" s="5">
        <v>70.75</v>
      </c>
      <c r="K1589" s="5">
        <v>297.08</v>
      </c>
      <c r="L1589" s="5">
        <v>85.17</v>
      </c>
      <c r="M1589" s="5">
        <v>129.66999999999999</v>
      </c>
      <c r="N1589" s="5">
        <v>140.26</v>
      </c>
      <c r="O1589" s="5">
        <v>169.69</v>
      </c>
      <c r="P1589" s="5">
        <v>183.54</v>
      </c>
    </row>
    <row r="1590" spans="1:16" ht="15" customHeight="1" x14ac:dyDescent="0.35">
      <c r="A1590" s="1">
        <v>135</v>
      </c>
      <c r="B1590" s="5">
        <v>26.75</v>
      </c>
      <c r="C1590" s="5">
        <v>27.1</v>
      </c>
      <c r="D1590" s="5">
        <v>29.06</v>
      </c>
      <c r="E1590" s="5">
        <v>29.84</v>
      </c>
      <c r="F1590" s="5">
        <v>33.78</v>
      </c>
      <c r="G1590" s="5">
        <v>36.630000000000003</v>
      </c>
      <c r="H1590" s="5">
        <v>41.14</v>
      </c>
      <c r="I1590" s="5">
        <v>391.7</v>
      </c>
      <c r="J1590" s="5">
        <v>71.61</v>
      </c>
      <c r="K1590" s="5">
        <v>299.33</v>
      </c>
      <c r="L1590" s="5">
        <v>85.38</v>
      </c>
      <c r="M1590" s="5">
        <v>130.51</v>
      </c>
      <c r="N1590" s="5">
        <v>141</v>
      </c>
      <c r="O1590" s="5">
        <v>170.79</v>
      </c>
      <c r="P1590" s="5">
        <v>184.51</v>
      </c>
    </row>
    <row r="1591" spans="1:16" ht="15" customHeight="1" x14ac:dyDescent="0.35">
      <c r="A1591" s="1">
        <v>136</v>
      </c>
      <c r="B1591" s="5">
        <v>26.94</v>
      </c>
      <c r="C1591" s="5">
        <v>27.1</v>
      </c>
      <c r="D1591" s="5">
        <v>29.26</v>
      </c>
      <c r="E1591" s="5">
        <v>30.1</v>
      </c>
      <c r="F1591" s="5">
        <v>33.78</v>
      </c>
      <c r="G1591" s="5">
        <v>37.200000000000003</v>
      </c>
      <c r="H1591" s="5">
        <v>41.42</v>
      </c>
      <c r="I1591" s="5">
        <v>394.68</v>
      </c>
      <c r="J1591" s="5">
        <v>73.150000000000006</v>
      </c>
      <c r="K1591" s="5">
        <v>301.61</v>
      </c>
      <c r="L1591" s="5">
        <v>87</v>
      </c>
      <c r="M1591" s="5">
        <v>131.37</v>
      </c>
      <c r="N1591" s="5">
        <v>141.74</v>
      </c>
      <c r="O1591" s="5">
        <v>171.91</v>
      </c>
      <c r="P1591" s="5">
        <v>185.48</v>
      </c>
    </row>
    <row r="1592" spans="1:16" ht="15" customHeight="1" x14ac:dyDescent="0.35">
      <c r="A1592" s="1">
        <v>137</v>
      </c>
      <c r="B1592" s="5">
        <v>26.95</v>
      </c>
      <c r="C1592" s="5">
        <v>27.17</v>
      </c>
      <c r="D1592" s="5">
        <v>30.04</v>
      </c>
      <c r="E1592" s="5">
        <v>30.32</v>
      </c>
      <c r="F1592" s="5">
        <v>33.78</v>
      </c>
      <c r="G1592" s="5">
        <v>37.200000000000003</v>
      </c>
      <c r="H1592" s="5">
        <v>41.42</v>
      </c>
      <c r="I1592" s="5">
        <v>405.28</v>
      </c>
      <c r="J1592" s="5">
        <v>73.34</v>
      </c>
      <c r="K1592" s="5">
        <v>309.7</v>
      </c>
      <c r="L1592" s="5">
        <v>87.82</v>
      </c>
      <c r="M1592" s="5">
        <v>133</v>
      </c>
      <c r="N1592" s="5">
        <v>142.47</v>
      </c>
      <c r="O1592" s="5">
        <v>174.05</v>
      </c>
      <c r="P1592" s="5">
        <v>186.44</v>
      </c>
    </row>
    <row r="1593" spans="1:16" ht="15" customHeight="1" x14ac:dyDescent="0.35">
      <c r="A1593" s="1">
        <v>138</v>
      </c>
      <c r="B1593" s="5">
        <v>27.45</v>
      </c>
      <c r="C1593" s="5">
        <v>27.86</v>
      </c>
      <c r="D1593" s="5">
        <v>30.18</v>
      </c>
      <c r="E1593" s="5">
        <v>30.57</v>
      </c>
      <c r="F1593" s="5">
        <v>34.47</v>
      </c>
      <c r="G1593" s="5">
        <v>37.520000000000003</v>
      </c>
      <c r="H1593" s="5">
        <v>42.56</v>
      </c>
      <c r="I1593" s="5">
        <v>407.43</v>
      </c>
      <c r="J1593" s="5">
        <v>74.209999999999994</v>
      </c>
      <c r="K1593" s="5">
        <v>311.35000000000002</v>
      </c>
      <c r="L1593" s="5">
        <v>88.12</v>
      </c>
      <c r="M1593" s="5">
        <v>133.82</v>
      </c>
      <c r="N1593" s="5">
        <v>143.19</v>
      </c>
      <c r="O1593" s="5">
        <v>175.12</v>
      </c>
      <c r="P1593" s="5">
        <v>187.38</v>
      </c>
    </row>
    <row r="1594" spans="1:16" ht="15" customHeight="1" x14ac:dyDescent="0.35">
      <c r="A1594" s="1">
        <v>139</v>
      </c>
      <c r="B1594" s="5">
        <v>27.96</v>
      </c>
      <c r="C1594" s="5">
        <v>27.96</v>
      </c>
      <c r="D1594" s="5">
        <v>30.19</v>
      </c>
      <c r="E1594" s="5">
        <v>30.58</v>
      </c>
      <c r="F1594" s="5">
        <v>34.479999999999997</v>
      </c>
      <c r="G1594" s="5">
        <v>38.22</v>
      </c>
      <c r="H1594" s="5">
        <v>42.57</v>
      </c>
      <c r="I1594" s="5">
        <v>407.44</v>
      </c>
      <c r="J1594" s="5">
        <v>75.069999999999993</v>
      </c>
      <c r="K1594" s="5">
        <v>311.36</v>
      </c>
      <c r="L1594" s="5">
        <v>89.87</v>
      </c>
      <c r="M1594" s="5">
        <v>133.84</v>
      </c>
      <c r="N1594" s="5">
        <v>143.9</v>
      </c>
      <c r="O1594" s="5">
        <v>175.14</v>
      </c>
      <c r="P1594" s="5">
        <v>188.31</v>
      </c>
    </row>
    <row r="1595" spans="1:16" ht="15" customHeight="1" x14ac:dyDescent="0.35">
      <c r="A1595" s="1">
        <v>140</v>
      </c>
      <c r="B1595" s="5">
        <v>28.19</v>
      </c>
      <c r="C1595" s="5">
        <v>28.41</v>
      </c>
      <c r="D1595" s="5">
        <v>30.48</v>
      </c>
      <c r="E1595" s="5">
        <v>31.06</v>
      </c>
      <c r="F1595" s="5">
        <v>34.85</v>
      </c>
      <c r="G1595" s="5">
        <v>38.22</v>
      </c>
      <c r="H1595" s="5">
        <v>42.57</v>
      </c>
      <c r="I1595" s="5">
        <v>407.45</v>
      </c>
      <c r="J1595" s="5">
        <v>75.97</v>
      </c>
      <c r="K1595" s="5">
        <v>311.36</v>
      </c>
      <c r="L1595" s="5">
        <v>90.82</v>
      </c>
      <c r="M1595" s="5">
        <v>135.46</v>
      </c>
      <c r="N1595" s="5">
        <v>144.66999999999999</v>
      </c>
      <c r="O1595" s="5">
        <v>177.25</v>
      </c>
      <c r="P1595" s="5">
        <v>189.32</v>
      </c>
    </row>
    <row r="1596" spans="1:16" ht="15" customHeight="1" x14ac:dyDescent="0.35">
      <c r="A1596" s="1">
        <v>141</v>
      </c>
      <c r="B1596" s="5">
        <v>28.19</v>
      </c>
      <c r="C1596" s="5">
        <v>28.41</v>
      </c>
      <c r="D1596" s="5">
        <v>30.75</v>
      </c>
      <c r="E1596" s="5">
        <v>31.06</v>
      </c>
      <c r="F1596" s="5">
        <v>34.85</v>
      </c>
      <c r="G1596" s="5">
        <v>38.22</v>
      </c>
      <c r="H1596" s="5">
        <v>42.98</v>
      </c>
      <c r="I1596" s="5">
        <v>408.49</v>
      </c>
      <c r="J1596" s="5">
        <v>77.55</v>
      </c>
      <c r="K1596" s="5">
        <v>312.16000000000003</v>
      </c>
      <c r="L1596" s="5">
        <v>90.86</v>
      </c>
      <c r="M1596" s="5">
        <v>135.47</v>
      </c>
      <c r="N1596" s="5">
        <v>145.38</v>
      </c>
      <c r="O1596" s="5">
        <v>177.28</v>
      </c>
      <c r="P1596" s="5">
        <v>190.25</v>
      </c>
    </row>
    <row r="1597" spans="1:16" ht="15" customHeight="1" x14ac:dyDescent="0.35">
      <c r="A1597" s="1">
        <v>142</v>
      </c>
      <c r="B1597" s="5">
        <v>28.55</v>
      </c>
      <c r="C1597" s="5">
        <v>28.56</v>
      </c>
      <c r="D1597" s="5">
        <v>31.03</v>
      </c>
      <c r="E1597" s="5">
        <v>31.56</v>
      </c>
      <c r="F1597" s="5">
        <v>35.369999999999997</v>
      </c>
      <c r="G1597" s="5">
        <v>38.39</v>
      </c>
      <c r="H1597" s="5">
        <v>42.98</v>
      </c>
      <c r="I1597" s="5">
        <v>415.3</v>
      </c>
      <c r="J1597" s="5">
        <v>77.67</v>
      </c>
      <c r="K1597" s="5">
        <v>317.37</v>
      </c>
      <c r="L1597" s="5">
        <v>91.74</v>
      </c>
      <c r="M1597" s="5">
        <v>136.31</v>
      </c>
      <c r="N1597" s="5">
        <v>146.15</v>
      </c>
      <c r="O1597" s="5">
        <v>178.38</v>
      </c>
      <c r="P1597" s="5">
        <v>191.25</v>
      </c>
    </row>
    <row r="1598" spans="1:16" ht="15" customHeight="1" x14ac:dyDescent="0.35">
      <c r="A1598" s="1">
        <v>143</v>
      </c>
      <c r="B1598" s="5">
        <v>28.56</v>
      </c>
      <c r="C1598" s="5">
        <v>28.56</v>
      </c>
      <c r="D1598" s="5">
        <v>31.03</v>
      </c>
      <c r="E1598" s="5">
        <v>31.56</v>
      </c>
      <c r="F1598" s="5">
        <v>35.369999999999997</v>
      </c>
      <c r="G1598" s="5">
        <v>38.4</v>
      </c>
      <c r="H1598" s="5">
        <v>42.98</v>
      </c>
      <c r="I1598" s="5">
        <v>418.11</v>
      </c>
      <c r="J1598" s="5">
        <v>79.319999999999993</v>
      </c>
      <c r="K1598" s="5">
        <v>319.52</v>
      </c>
      <c r="L1598" s="5">
        <v>91.81</v>
      </c>
      <c r="M1598" s="5">
        <v>137.15</v>
      </c>
      <c r="N1598" s="5">
        <v>146.88</v>
      </c>
      <c r="O1598" s="5">
        <v>179.47</v>
      </c>
      <c r="P1598" s="5">
        <v>192.2</v>
      </c>
    </row>
    <row r="1599" spans="1:16" ht="15" customHeight="1" x14ac:dyDescent="0.35">
      <c r="A1599" s="1">
        <v>144</v>
      </c>
      <c r="B1599" s="5">
        <v>29.36</v>
      </c>
      <c r="C1599" s="5">
        <v>29.76</v>
      </c>
      <c r="D1599" s="5">
        <v>31.94</v>
      </c>
      <c r="E1599" s="5">
        <v>32.549999999999997</v>
      </c>
      <c r="F1599" s="5">
        <v>36.31</v>
      </c>
      <c r="G1599" s="5">
        <v>39.76</v>
      </c>
      <c r="H1599" s="5">
        <v>44.48</v>
      </c>
      <c r="I1599" s="5">
        <v>420.98</v>
      </c>
      <c r="J1599" s="5">
        <v>80.94</v>
      </c>
      <c r="K1599" s="5">
        <v>321.70999999999998</v>
      </c>
      <c r="L1599" s="5">
        <v>95.39</v>
      </c>
      <c r="M1599" s="5">
        <v>137.47</v>
      </c>
      <c r="N1599" s="5">
        <v>147.69999999999999</v>
      </c>
      <c r="O1599" s="5">
        <v>179.89</v>
      </c>
      <c r="P1599" s="5">
        <v>193.27</v>
      </c>
    </row>
    <row r="1600" spans="1:16" ht="15" customHeight="1" x14ac:dyDescent="0.35">
      <c r="A1600" s="1">
        <v>145</v>
      </c>
      <c r="B1600" s="5">
        <v>29.36</v>
      </c>
      <c r="C1600" s="5">
        <v>30.06</v>
      </c>
      <c r="D1600" s="5">
        <v>31.94</v>
      </c>
      <c r="E1600" s="5">
        <v>32.549999999999997</v>
      </c>
      <c r="F1600" s="5">
        <v>36.85</v>
      </c>
      <c r="G1600" s="5">
        <v>39.85</v>
      </c>
      <c r="H1600" s="5">
        <v>44.48</v>
      </c>
      <c r="I1600" s="5">
        <v>420.99</v>
      </c>
      <c r="J1600" s="5">
        <v>80.95</v>
      </c>
      <c r="K1600" s="5">
        <v>321.70999999999998</v>
      </c>
      <c r="L1600" s="5">
        <v>95.4</v>
      </c>
      <c r="M1600" s="5">
        <v>138.77000000000001</v>
      </c>
      <c r="N1600" s="5">
        <v>149.33000000000001</v>
      </c>
      <c r="O1600" s="5">
        <v>181.59</v>
      </c>
      <c r="P1600" s="5">
        <v>195.41</v>
      </c>
    </row>
    <row r="1601" spans="1:16" ht="15" customHeight="1" x14ac:dyDescent="0.35">
      <c r="A1601" s="1">
        <v>146</v>
      </c>
      <c r="B1601" s="5">
        <v>29.37</v>
      </c>
      <c r="C1601" s="5">
        <v>30.06</v>
      </c>
      <c r="D1601" s="5">
        <v>31.94</v>
      </c>
      <c r="E1601" s="5">
        <v>32.549999999999997</v>
      </c>
      <c r="F1601" s="5">
        <v>36.86</v>
      </c>
      <c r="G1601" s="5">
        <v>39.85</v>
      </c>
      <c r="H1601" s="5">
        <v>44.49</v>
      </c>
      <c r="I1601" s="5">
        <v>422.94</v>
      </c>
      <c r="J1601" s="5">
        <v>81.17</v>
      </c>
      <c r="K1601" s="5">
        <v>323.20999999999998</v>
      </c>
      <c r="L1601" s="5">
        <v>98.17</v>
      </c>
      <c r="M1601" s="5">
        <v>139.62</v>
      </c>
      <c r="N1601" s="5">
        <v>149.33000000000001</v>
      </c>
      <c r="O1601" s="5">
        <v>182.7</v>
      </c>
      <c r="P1601" s="5">
        <v>195.41</v>
      </c>
    </row>
    <row r="1602" spans="1:16" ht="15" customHeight="1" x14ac:dyDescent="0.35">
      <c r="A1602" s="1">
        <v>147</v>
      </c>
      <c r="B1602" s="5">
        <v>29.72</v>
      </c>
      <c r="C1602" s="5">
        <v>30.35</v>
      </c>
      <c r="D1602" s="5">
        <v>32.5</v>
      </c>
      <c r="E1602" s="5">
        <v>32.880000000000003</v>
      </c>
      <c r="F1602" s="5">
        <v>37.119999999999997</v>
      </c>
      <c r="G1602" s="5">
        <v>39.86</v>
      </c>
      <c r="H1602" s="5">
        <v>44.9</v>
      </c>
      <c r="I1602" s="5">
        <v>433.02</v>
      </c>
      <c r="J1602" s="5">
        <v>82.03</v>
      </c>
      <c r="K1602" s="5">
        <v>330.91</v>
      </c>
      <c r="L1602" s="5">
        <v>98.18</v>
      </c>
      <c r="M1602" s="5">
        <v>140.44999999999999</v>
      </c>
      <c r="N1602" s="5">
        <v>150.16</v>
      </c>
      <c r="O1602" s="5">
        <v>183.79</v>
      </c>
      <c r="P1602" s="5">
        <v>196.5</v>
      </c>
    </row>
    <row r="1603" spans="1:16" ht="15" customHeight="1" x14ac:dyDescent="0.35">
      <c r="A1603" s="1">
        <v>148</v>
      </c>
      <c r="B1603" s="5">
        <v>29.73</v>
      </c>
      <c r="C1603" s="5">
        <v>30.53</v>
      </c>
      <c r="D1603" s="5">
        <v>32.54</v>
      </c>
      <c r="E1603" s="5">
        <v>32.880000000000003</v>
      </c>
      <c r="F1603" s="5">
        <v>37.130000000000003</v>
      </c>
      <c r="G1603" s="5">
        <v>39.86</v>
      </c>
      <c r="H1603" s="5">
        <v>44.9</v>
      </c>
      <c r="I1603" s="5">
        <v>433.03</v>
      </c>
      <c r="J1603" s="5">
        <v>82.87</v>
      </c>
      <c r="K1603" s="5">
        <v>330.91</v>
      </c>
      <c r="L1603" s="5">
        <v>98.19</v>
      </c>
      <c r="M1603" s="5">
        <v>142.13</v>
      </c>
      <c r="N1603" s="5">
        <v>150.94999999999999</v>
      </c>
      <c r="O1603" s="5">
        <v>185.99</v>
      </c>
      <c r="P1603" s="5">
        <v>197.53</v>
      </c>
    </row>
    <row r="1604" spans="1:16" ht="15" customHeight="1" x14ac:dyDescent="0.35">
      <c r="A1604" s="1">
        <v>149</v>
      </c>
      <c r="B1604" s="5">
        <v>29.73</v>
      </c>
      <c r="C1604" s="5">
        <v>30.54</v>
      </c>
      <c r="D1604" s="5">
        <v>32.99</v>
      </c>
      <c r="E1604" s="5">
        <v>33.4</v>
      </c>
      <c r="F1604" s="5">
        <v>37.25</v>
      </c>
      <c r="G1604" s="5">
        <v>40.229999999999997</v>
      </c>
      <c r="H1604" s="5">
        <v>45.33</v>
      </c>
      <c r="I1604" s="5">
        <v>433.95</v>
      </c>
      <c r="J1604" s="5">
        <v>84.62</v>
      </c>
      <c r="K1604" s="5">
        <v>331.62</v>
      </c>
      <c r="L1604" s="5">
        <v>99.05</v>
      </c>
      <c r="M1604" s="5">
        <v>142.13999999999999</v>
      </c>
      <c r="N1604" s="5">
        <v>151.79</v>
      </c>
      <c r="O1604" s="5">
        <v>186</v>
      </c>
      <c r="P1604" s="5">
        <v>198.64</v>
      </c>
    </row>
    <row r="1605" spans="1:16" ht="15" customHeight="1" x14ac:dyDescent="0.35">
      <c r="A1605" s="1">
        <v>150</v>
      </c>
      <c r="B1605" s="5">
        <v>29.73</v>
      </c>
      <c r="C1605" s="5">
        <v>30.54</v>
      </c>
      <c r="D1605" s="5">
        <v>32.99</v>
      </c>
      <c r="E1605" s="5">
        <v>33.880000000000003</v>
      </c>
      <c r="F1605" s="5">
        <v>37.25</v>
      </c>
      <c r="G1605" s="5">
        <v>40.24</v>
      </c>
      <c r="H1605" s="5">
        <v>45.33</v>
      </c>
      <c r="I1605" s="5">
        <v>436.93</v>
      </c>
      <c r="J1605" s="5">
        <v>85.43</v>
      </c>
      <c r="K1605" s="5">
        <v>333.89</v>
      </c>
      <c r="L1605" s="5">
        <v>99.06</v>
      </c>
      <c r="M1605" s="5">
        <v>142.96</v>
      </c>
      <c r="N1605" s="5">
        <v>152.6</v>
      </c>
      <c r="O1605" s="5">
        <v>187.07</v>
      </c>
      <c r="P1605" s="5">
        <v>199.69</v>
      </c>
    </row>
    <row r="1606" spans="1:16" ht="15" customHeight="1" x14ac:dyDescent="0.3">
      <c r="A1606" s="1" t="s">
        <v>35</v>
      </c>
    </row>
    <row r="1609" spans="1:16" ht="15" customHeight="1" x14ac:dyDescent="0.35">
      <c r="A1609" s="8" t="s">
        <v>67</v>
      </c>
      <c r="B1609" s="8"/>
      <c r="C1609" s="8"/>
      <c r="D1609" s="8"/>
    </row>
    <row r="1610" spans="1:16" ht="15" customHeight="1" x14ac:dyDescent="0.3">
      <c r="A1610" s="7" t="s">
        <v>0</v>
      </c>
      <c r="B1610" s="7"/>
      <c r="C1610" s="7"/>
      <c r="D1610" s="7"/>
      <c r="E1610" s="7"/>
    </row>
    <row r="1611" spans="1:16" ht="15" customHeight="1" x14ac:dyDescent="0.35">
      <c r="A1611" s="8" t="s">
        <v>68</v>
      </c>
      <c r="B1611" s="8"/>
      <c r="C1611" s="8"/>
      <c r="D1611" s="8"/>
      <c r="E1611" s="8"/>
      <c r="F1611" s="8"/>
      <c r="G1611" s="8"/>
      <c r="H1611" s="7" t="s">
        <v>25</v>
      </c>
      <c r="I1611" s="7"/>
      <c r="J1611" s="7"/>
      <c r="K1611" s="7"/>
    </row>
    <row r="1615" spans="1:16" ht="15" customHeight="1" x14ac:dyDescent="0.3">
      <c r="A1615" s="1" t="s">
        <v>26</v>
      </c>
    </row>
    <row r="1616" spans="1:16" ht="15" customHeight="1" x14ac:dyDescent="0.3">
      <c r="A1616" s="1" t="s">
        <v>0</v>
      </c>
    </row>
    <row r="1617" spans="1:8" ht="15" customHeight="1" x14ac:dyDescent="0.3">
      <c r="A1617" s="1" t="s">
        <v>0</v>
      </c>
    </row>
    <row r="1618" spans="1:8" ht="15" customHeight="1" x14ac:dyDescent="0.3">
      <c r="A1618" s="1" t="s">
        <v>27</v>
      </c>
      <c r="B1618" s="1" t="s">
        <v>28</v>
      </c>
    </row>
    <row r="1619" spans="1:8" ht="15" customHeight="1" x14ac:dyDescent="0.35">
      <c r="A1619" s="1" t="s">
        <v>69</v>
      </c>
      <c r="B1619" s="3">
        <v>0.08</v>
      </c>
    </row>
    <row r="1621" spans="1:8" ht="15" customHeight="1" x14ac:dyDescent="0.3">
      <c r="A1621" s="1" t="s">
        <v>60</v>
      </c>
    </row>
    <row r="1622" spans="1:8" ht="15" customHeight="1" x14ac:dyDescent="0.3">
      <c r="A1622" s="1" t="s">
        <v>61</v>
      </c>
      <c r="B1622" s="1" t="s">
        <v>62</v>
      </c>
    </row>
    <row r="1623" spans="1:8" ht="15" customHeight="1" x14ac:dyDescent="0.3">
      <c r="A1623" s="1" t="s">
        <v>0</v>
      </c>
    </row>
    <row r="1624" spans="1:8" ht="15" customHeight="1" x14ac:dyDescent="0.35">
      <c r="A1624" s="2" t="s">
        <v>32</v>
      </c>
      <c r="B1624" s="8" t="s">
        <v>33</v>
      </c>
      <c r="C1624" s="8"/>
    </row>
    <row r="1625" spans="1:8" ht="15" customHeight="1" x14ac:dyDescent="0.35">
      <c r="A1625" s="2" t="s">
        <v>34</v>
      </c>
      <c r="B1625" s="2">
        <v>2</v>
      </c>
      <c r="C1625" s="2">
        <v>3</v>
      </c>
      <c r="D1625" s="2">
        <v>4</v>
      </c>
      <c r="E1625" s="2">
        <v>5</v>
      </c>
      <c r="F1625" s="2">
        <v>6</v>
      </c>
      <c r="G1625" s="2">
        <v>7</v>
      </c>
      <c r="H1625" s="2">
        <v>8</v>
      </c>
    </row>
    <row r="1626" spans="1:8" ht="15" customHeight="1" x14ac:dyDescent="0.3">
      <c r="A1626" s="1" t="s">
        <v>0</v>
      </c>
    </row>
    <row r="1627" spans="1:8" ht="15" customHeight="1" x14ac:dyDescent="0.35">
      <c r="A1627" s="1" t="s">
        <v>70</v>
      </c>
      <c r="B1627" s="4">
        <v>91</v>
      </c>
      <c r="C1627" s="4">
        <v>91</v>
      </c>
      <c r="D1627" s="4">
        <v>91</v>
      </c>
      <c r="E1627" s="4">
        <v>91</v>
      </c>
      <c r="F1627" s="5">
        <v>102.43</v>
      </c>
      <c r="G1627" s="5">
        <v>118.61</v>
      </c>
      <c r="H1627" s="5">
        <v>138.18</v>
      </c>
    </row>
    <row r="1628" spans="1:8" ht="15" customHeight="1" x14ac:dyDescent="0.35">
      <c r="A1628" s="1" t="s">
        <v>71</v>
      </c>
      <c r="B1628" s="4">
        <v>91</v>
      </c>
      <c r="C1628" s="4">
        <v>91</v>
      </c>
      <c r="D1628" s="4">
        <v>91</v>
      </c>
      <c r="E1628" s="4">
        <v>91</v>
      </c>
      <c r="F1628" s="5">
        <v>107.55</v>
      </c>
      <c r="G1628" s="5">
        <v>124.54</v>
      </c>
      <c r="H1628" s="5">
        <v>145.09</v>
      </c>
    </row>
    <row r="1629" spans="1:8" ht="15" customHeight="1" x14ac:dyDescent="0.35">
      <c r="A1629" s="1" t="s">
        <v>72</v>
      </c>
      <c r="B1629" s="4">
        <v>91</v>
      </c>
      <c r="C1629" s="4">
        <v>91</v>
      </c>
      <c r="D1629" s="4">
        <v>91</v>
      </c>
      <c r="E1629" s="4">
        <v>91</v>
      </c>
      <c r="F1629" s="5">
        <v>112.67</v>
      </c>
      <c r="G1629" s="5">
        <v>130.47</v>
      </c>
      <c r="H1629" s="5">
        <v>152</v>
      </c>
    </row>
    <row r="1630" spans="1:8" ht="15" customHeight="1" x14ac:dyDescent="0.35">
      <c r="A1630" s="1" t="s">
        <v>73</v>
      </c>
      <c r="B1630" s="4">
        <v>91</v>
      </c>
      <c r="C1630" s="4">
        <v>91</v>
      </c>
      <c r="D1630" s="4">
        <v>91</v>
      </c>
      <c r="E1630" s="5">
        <v>93.54</v>
      </c>
      <c r="F1630" s="5">
        <v>117.79</v>
      </c>
      <c r="G1630" s="5">
        <v>136.4</v>
      </c>
      <c r="H1630" s="5">
        <v>158.91</v>
      </c>
    </row>
    <row r="1631" spans="1:8" ht="15" customHeight="1" x14ac:dyDescent="0.35">
      <c r="A1631" s="1" t="s">
        <v>74</v>
      </c>
      <c r="B1631" s="4">
        <v>91</v>
      </c>
      <c r="C1631" s="4">
        <v>91</v>
      </c>
      <c r="D1631" s="4">
        <v>91</v>
      </c>
      <c r="E1631" s="5">
        <v>97.61</v>
      </c>
      <c r="F1631" s="5">
        <v>122.92</v>
      </c>
      <c r="G1631" s="5">
        <v>142.33000000000001</v>
      </c>
      <c r="H1631" s="5">
        <v>165.82</v>
      </c>
    </row>
    <row r="1632" spans="1:8" ht="15" customHeight="1" x14ac:dyDescent="0.35">
      <c r="A1632" s="1" t="s">
        <v>75</v>
      </c>
      <c r="B1632" s="4">
        <v>91</v>
      </c>
      <c r="C1632" s="4">
        <v>91</v>
      </c>
      <c r="D1632" s="4">
        <v>91</v>
      </c>
      <c r="E1632" s="5">
        <v>101.67</v>
      </c>
      <c r="F1632" s="5">
        <v>128.04</v>
      </c>
      <c r="G1632" s="5">
        <v>148.27000000000001</v>
      </c>
      <c r="H1632" s="5">
        <v>172.73</v>
      </c>
    </row>
    <row r="1633" spans="1:8" ht="15" customHeight="1" x14ac:dyDescent="0.35">
      <c r="A1633" s="1" t="s">
        <v>76</v>
      </c>
      <c r="B1633" s="4">
        <v>91</v>
      </c>
      <c r="C1633" s="4">
        <v>91</v>
      </c>
      <c r="D1633" s="4">
        <v>91</v>
      </c>
      <c r="E1633" s="5">
        <v>105.74</v>
      </c>
      <c r="F1633" s="5">
        <v>133.16</v>
      </c>
      <c r="G1633" s="5">
        <v>154.19999999999999</v>
      </c>
      <c r="H1633" s="5">
        <v>179.64</v>
      </c>
    </row>
    <row r="1634" spans="1:8" ht="15" customHeight="1" x14ac:dyDescent="0.35">
      <c r="A1634" s="1" t="s">
        <v>77</v>
      </c>
      <c r="B1634" s="4">
        <v>91</v>
      </c>
      <c r="C1634" s="4">
        <v>91</v>
      </c>
      <c r="D1634" s="5">
        <v>92.09</v>
      </c>
      <c r="E1634" s="5">
        <v>109.81</v>
      </c>
      <c r="F1634" s="5">
        <v>138.28</v>
      </c>
      <c r="G1634" s="5">
        <v>160.13</v>
      </c>
      <c r="H1634" s="5">
        <v>186.55</v>
      </c>
    </row>
    <row r="1635" spans="1:8" ht="15" customHeight="1" x14ac:dyDescent="0.35">
      <c r="A1635" s="1" t="s">
        <v>78</v>
      </c>
      <c r="B1635" s="4">
        <v>91</v>
      </c>
      <c r="C1635" s="4">
        <v>91</v>
      </c>
      <c r="D1635" s="5">
        <v>95.5</v>
      </c>
      <c r="E1635" s="5">
        <v>113.87</v>
      </c>
      <c r="F1635" s="5">
        <v>143.4</v>
      </c>
      <c r="G1635" s="5">
        <v>166.06</v>
      </c>
      <c r="H1635" s="5">
        <v>193.46</v>
      </c>
    </row>
    <row r="1636" spans="1:8" ht="15" customHeight="1" x14ac:dyDescent="0.35">
      <c r="A1636" s="1" t="s">
        <v>79</v>
      </c>
      <c r="B1636" s="4">
        <v>91</v>
      </c>
      <c r="C1636" s="5">
        <v>92.76</v>
      </c>
      <c r="D1636" s="5">
        <v>98.91</v>
      </c>
      <c r="E1636" s="5">
        <v>117.94</v>
      </c>
      <c r="F1636" s="5">
        <v>148.52000000000001</v>
      </c>
      <c r="G1636" s="5">
        <v>171.99</v>
      </c>
      <c r="H1636" s="5">
        <v>200.37</v>
      </c>
    </row>
    <row r="1637" spans="1:8" ht="15" customHeight="1" x14ac:dyDescent="0.35">
      <c r="A1637" s="1" t="s">
        <v>80</v>
      </c>
      <c r="B1637" s="4">
        <v>91</v>
      </c>
      <c r="C1637" s="5">
        <v>95.96</v>
      </c>
      <c r="D1637" s="5">
        <v>102.32</v>
      </c>
      <c r="E1637" s="5">
        <v>122.01</v>
      </c>
      <c r="F1637" s="5">
        <v>153.63999999999999</v>
      </c>
      <c r="G1637" s="5">
        <v>177.92</v>
      </c>
      <c r="H1637" s="5">
        <v>207.28</v>
      </c>
    </row>
    <row r="1638" spans="1:8" ht="15" customHeight="1" x14ac:dyDescent="0.35">
      <c r="A1638" s="1" t="s">
        <v>81</v>
      </c>
      <c r="B1638" s="4">
        <v>91</v>
      </c>
      <c r="C1638" s="5">
        <v>99.15</v>
      </c>
      <c r="D1638" s="5">
        <v>105.73</v>
      </c>
      <c r="E1638" s="5">
        <v>126.07</v>
      </c>
      <c r="F1638" s="5">
        <v>158.77000000000001</v>
      </c>
      <c r="G1638" s="5">
        <v>183.85</v>
      </c>
      <c r="H1638" s="5">
        <v>214.19</v>
      </c>
    </row>
    <row r="1639" spans="1:8" ht="15" customHeight="1" x14ac:dyDescent="0.35">
      <c r="A1639" s="1" t="s">
        <v>82</v>
      </c>
      <c r="B1639" s="4">
        <v>91</v>
      </c>
      <c r="C1639" s="5">
        <v>102.35</v>
      </c>
      <c r="D1639" s="5">
        <v>109.14</v>
      </c>
      <c r="E1639" s="5">
        <v>130.13999999999999</v>
      </c>
      <c r="F1639" s="5">
        <v>163.89</v>
      </c>
      <c r="G1639" s="5">
        <v>189.78</v>
      </c>
      <c r="H1639" s="5">
        <v>221.1</v>
      </c>
    </row>
    <row r="1640" spans="1:8" ht="15" customHeight="1" x14ac:dyDescent="0.35">
      <c r="A1640" s="1" t="s">
        <v>83</v>
      </c>
      <c r="B1640" s="4">
        <v>91</v>
      </c>
      <c r="C1640" s="5">
        <v>105.55</v>
      </c>
      <c r="D1640" s="5">
        <v>112.55</v>
      </c>
      <c r="E1640" s="5">
        <v>134.21</v>
      </c>
      <c r="F1640" s="5">
        <v>169.01</v>
      </c>
      <c r="G1640" s="5">
        <v>195.71</v>
      </c>
      <c r="H1640" s="5">
        <v>228</v>
      </c>
    </row>
    <row r="1641" spans="1:8" ht="15" customHeight="1" x14ac:dyDescent="0.35">
      <c r="A1641" s="1" t="s">
        <v>84</v>
      </c>
      <c r="B1641" s="4">
        <v>91</v>
      </c>
      <c r="C1641" s="5">
        <v>108.75</v>
      </c>
      <c r="D1641" s="5">
        <v>115.96</v>
      </c>
      <c r="E1641" s="5">
        <v>138.28</v>
      </c>
      <c r="F1641" s="5">
        <v>174.13</v>
      </c>
      <c r="G1641" s="5">
        <v>201.64</v>
      </c>
      <c r="H1641" s="5">
        <v>234.91</v>
      </c>
    </row>
    <row r="1642" spans="1:8" ht="15" customHeight="1" x14ac:dyDescent="0.35">
      <c r="A1642" s="1" t="s">
        <v>85</v>
      </c>
      <c r="B1642" s="4">
        <v>91</v>
      </c>
      <c r="C1642" s="5">
        <v>111.95</v>
      </c>
      <c r="D1642" s="5">
        <v>119.37</v>
      </c>
      <c r="E1642" s="5">
        <v>142.34</v>
      </c>
      <c r="F1642" s="5">
        <v>179.25</v>
      </c>
      <c r="G1642" s="5">
        <v>207.57</v>
      </c>
      <c r="H1642" s="5">
        <v>241.82</v>
      </c>
    </row>
    <row r="1643" spans="1:8" ht="15" customHeight="1" x14ac:dyDescent="0.35">
      <c r="A1643" s="1" t="s">
        <v>86</v>
      </c>
      <c r="B1643" s="5">
        <v>92.2</v>
      </c>
      <c r="C1643" s="5">
        <v>115.15</v>
      </c>
      <c r="D1643" s="5">
        <v>122.78</v>
      </c>
      <c r="E1643" s="5">
        <v>146.41</v>
      </c>
      <c r="F1643" s="5">
        <v>184.37</v>
      </c>
      <c r="G1643" s="5">
        <v>213.5</v>
      </c>
      <c r="H1643" s="5">
        <v>248.73</v>
      </c>
    </row>
    <row r="1644" spans="1:8" ht="15" customHeight="1" x14ac:dyDescent="0.35">
      <c r="A1644" s="1" t="s">
        <v>87</v>
      </c>
      <c r="B1644" s="5">
        <v>94.76</v>
      </c>
      <c r="C1644" s="5">
        <v>118.35</v>
      </c>
      <c r="D1644" s="5">
        <v>126.2</v>
      </c>
      <c r="E1644" s="5">
        <v>150.47999999999999</v>
      </c>
      <c r="F1644" s="5">
        <v>189.49</v>
      </c>
      <c r="G1644" s="5">
        <v>219.43</v>
      </c>
      <c r="H1644" s="5">
        <v>255.64</v>
      </c>
    </row>
    <row r="1645" spans="1:8" ht="15" customHeight="1" x14ac:dyDescent="0.35">
      <c r="A1645" s="1" t="s">
        <v>88</v>
      </c>
      <c r="B1645" s="5">
        <v>97.32</v>
      </c>
      <c r="C1645" s="5">
        <v>121.54</v>
      </c>
      <c r="D1645" s="5">
        <v>129.61000000000001</v>
      </c>
      <c r="E1645" s="5">
        <v>154.54</v>
      </c>
      <c r="F1645" s="5">
        <v>194.62</v>
      </c>
      <c r="G1645" s="5">
        <v>225.36</v>
      </c>
      <c r="H1645" s="5">
        <v>262.55</v>
      </c>
    </row>
    <row r="1646" spans="1:8" ht="15" customHeight="1" x14ac:dyDescent="0.35">
      <c r="A1646" s="1" t="s">
        <v>89</v>
      </c>
      <c r="B1646" s="5">
        <v>99.88</v>
      </c>
      <c r="C1646" s="5">
        <v>124.74</v>
      </c>
      <c r="D1646" s="5">
        <v>133.02000000000001</v>
      </c>
      <c r="E1646" s="5">
        <v>158.61000000000001</v>
      </c>
      <c r="F1646" s="5">
        <v>199.74</v>
      </c>
      <c r="G1646" s="5">
        <v>231.29</v>
      </c>
      <c r="H1646" s="5">
        <v>269.45999999999998</v>
      </c>
    </row>
    <row r="1647" spans="1:8" ht="15" customHeight="1" x14ac:dyDescent="0.35">
      <c r="A1647" s="1" t="s">
        <v>90</v>
      </c>
      <c r="B1647" s="5">
        <v>102.44</v>
      </c>
      <c r="C1647" s="5">
        <v>127.94</v>
      </c>
      <c r="D1647" s="5">
        <v>136.43</v>
      </c>
      <c r="E1647" s="5">
        <v>162.68</v>
      </c>
      <c r="F1647" s="5">
        <v>204.86</v>
      </c>
      <c r="G1647" s="5">
        <v>237.22</v>
      </c>
      <c r="H1647" s="5">
        <v>276.37</v>
      </c>
    </row>
    <row r="1648" spans="1:8" ht="15" customHeight="1" x14ac:dyDescent="0.35">
      <c r="A1648" s="1" t="s">
        <v>91</v>
      </c>
      <c r="B1648" s="5">
        <v>105</v>
      </c>
      <c r="C1648" s="5">
        <v>131.13999999999999</v>
      </c>
      <c r="D1648" s="5">
        <v>139.84</v>
      </c>
      <c r="E1648" s="5">
        <v>166.74</v>
      </c>
      <c r="F1648" s="5">
        <v>209.98</v>
      </c>
      <c r="G1648" s="5">
        <v>243.15</v>
      </c>
      <c r="H1648" s="5">
        <v>283.27999999999997</v>
      </c>
    </row>
    <row r="1649" spans="1:8" ht="15" customHeight="1" x14ac:dyDescent="0.35">
      <c r="A1649" s="1" t="s">
        <v>92</v>
      </c>
      <c r="B1649" s="5">
        <v>107.56</v>
      </c>
      <c r="C1649" s="5">
        <v>134.34</v>
      </c>
      <c r="D1649" s="5">
        <v>143.25</v>
      </c>
      <c r="E1649" s="5">
        <v>170.81</v>
      </c>
      <c r="F1649" s="5">
        <v>215.1</v>
      </c>
      <c r="G1649" s="5">
        <v>249.09</v>
      </c>
      <c r="H1649" s="5">
        <v>290.19</v>
      </c>
    </row>
    <row r="1650" spans="1:8" ht="15" customHeight="1" x14ac:dyDescent="0.35">
      <c r="A1650" s="1" t="s">
        <v>93</v>
      </c>
      <c r="B1650" s="5">
        <v>110.12</v>
      </c>
      <c r="C1650" s="5">
        <v>137.54</v>
      </c>
      <c r="D1650" s="5">
        <v>146.66</v>
      </c>
      <c r="E1650" s="5">
        <v>174.88</v>
      </c>
      <c r="F1650" s="5">
        <v>220.22</v>
      </c>
      <c r="G1650" s="5">
        <v>255.02</v>
      </c>
      <c r="H1650" s="5">
        <v>297.10000000000002</v>
      </c>
    </row>
    <row r="1651" spans="1:8" ht="15" customHeight="1" x14ac:dyDescent="0.35">
      <c r="A1651" s="1" t="s">
        <v>94</v>
      </c>
      <c r="B1651" s="5">
        <v>112.68</v>
      </c>
      <c r="C1651" s="5">
        <v>140.72999999999999</v>
      </c>
      <c r="D1651" s="5">
        <v>150.07</v>
      </c>
      <c r="E1651" s="5">
        <v>178.94</v>
      </c>
      <c r="F1651" s="5">
        <v>225.35</v>
      </c>
      <c r="G1651" s="5">
        <v>260.95</v>
      </c>
      <c r="H1651" s="5">
        <v>304.01</v>
      </c>
    </row>
    <row r="1652" spans="1:8" ht="15" customHeight="1" x14ac:dyDescent="0.35">
      <c r="A1652" s="1" t="s">
        <v>95</v>
      </c>
      <c r="B1652" s="5">
        <v>115.25</v>
      </c>
      <c r="C1652" s="5">
        <v>143.93</v>
      </c>
      <c r="D1652" s="5">
        <v>153.47999999999999</v>
      </c>
      <c r="E1652" s="5">
        <v>183.01</v>
      </c>
      <c r="F1652" s="5">
        <v>230.47</v>
      </c>
      <c r="G1652" s="5">
        <v>266.88</v>
      </c>
      <c r="H1652" s="5">
        <v>310.92</v>
      </c>
    </row>
    <row r="1653" spans="1:8" ht="15" customHeight="1" x14ac:dyDescent="0.35">
      <c r="A1653" s="1" t="s">
        <v>96</v>
      </c>
      <c r="B1653" s="5">
        <v>117.81</v>
      </c>
      <c r="C1653" s="5">
        <v>147.13</v>
      </c>
      <c r="D1653" s="5">
        <v>156.88999999999999</v>
      </c>
      <c r="E1653" s="5">
        <v>187.08</v>
      </c>
      <c r="F1653" s="5">
        <v>235.59</v>
      </c>
      <c r="G1653" s="5">
        <v>272.81</v>
      </c>
      <c r="H1653" s="5">
        <v>317.83</v>
      </c>
    </row>
    <row r="1654" spans="1:8" ht="15" customHeight="1" x14ac:dyDescent="0.35">
      <c r="A1654" s="1" t="s">
        <v>97</v>
      </c>
      <c r="B1654" s="5">
        <v>120.37</v>
      </c>
      <c r="C1654" s="5">
        <v>150.33000000000001</v>
      </c>
      <c r="D1654" s="5">
        <v>160.30000000000001</v>
      </c>
      <c r="E1654" s="5">
        <v>191.15</v>
      </c>
      <c r="F1654" s="5">
        <v>240.71</v>
      </c>
      <c r="G1654" s="5">
        <v>278.74</v>
      </c>
      <c r="H1654" s="5">
        <v>324.73</v>
      </c>
    </row>
    <row r="1655" spans="1:8" ht="15" customHeight="1" x14ac:dyDescent="0.35">
      <c r="A1655" s="1" t="s">
        <v>98</v>
      </c>
      <c r="B1655" s="5">
        <v>122.93</v>
      </c>
      <c r="C1655" s="5">
        <v>153.53</v>
      </c>
      <c r="D1655" s="5">
        <v>163.71</v>
      </c>
      <c r="E1655" s="5">
        <v>195.21</v>
      </c>
      <c r="F1655" s="5">
        <v>245.83</v>
      </c>
      <c r="G1655" s="5">
        <v>284.67</v>
      </c>
      <c r="H1655" s="5">
        <v>331.64</v>
      </c>
    </row>
    <row r="1656" spans="1:8" ht="15" customHeight="1" x14ac:dyDescent="0.35">
      <c r="A1656" s="1" t="s">
        <v>99</v>
      </c>
      <c r="B1656" s="5">
        <v>125.49</v>
      </c>
      <c r="C1656" s="5">
        <v>156.72999999999999</v>
      </c>
      <c r="D1656" s="5">
        <v>167.12</v>
      </c>
      <c r="E1656" s="5">
        <v>199.28</v>
      </c>
      <c r="F1656" s="5">
        <v>250.95</v>
      </c>
      <c r="G1656" s="5">
        <v>290.60000000000002</v>
      </c>
      <c r="H1656" s="5">
        <v>338.55</v>
      </c>
    </row>
    <row r="1657" spans="1:8" ht="15" customHeight="1" x14ac:dyDescent="0.35">
      <c r="A1657" s="1" t="s">
        <v>100</v>
      </c>
      <c r="B1657" s="5">
        <v>110.92</v>
      </c>
      <c r="C1657" s="5">
        <v>138.91999999999999</v>
      </c>
      <c r="D1657" s="5">
        <v>148.19999999999999</v>
      </c>
      <c r="E1657" s="5">
        <v>176.98</v>
      </c>
      <c r="F1657" s="5">
        <v>222.09</v>
      </c>
      <c r="G1657" s="5">
        <v>256.07</v>
      </c>
      <c r="H1657" s="5">
        <v>298.32</v>
      </c>
    </row>
    <row r="1658" spans="1:8" ht="15" customHeight="1" x14ac:dyDescent="0.35">
      <c r="A1658" s="1" t="s">
        <v>101</v>
      </c>
      <c r="B1658" s="5">
        <v>113.13</v>
      </c>
      <c r="C1658" s="5">
        <v>141.69999999999999</v>
      </c>
      <c r="D1658" s="5">
        <v>151.16</v>
      </c>
      <c r="E1658" s="5">
        <v>180.52</v>
      </c>
      <c r="F1658" s="5">
        <v>226.53</v>
      </c>
      <c r="G1658" s="5">
        <v>261.2</v>
      </c>
      <c r="H1658" s="5">
        <v>304.29000000000002</v>
      </c>
    </row>
    <row r="1659" spans="1:8" ht="15" customHeight="1" x14ac:dyDescent="0.35">
      <c r="A1659" s="1" t="s">
        <v>102</v>
      </c>
      <c r="B1659" s="5">
        <v>115.35</v>
      </c>
      <c r="C1659" s="5">
        <v>144.47</v>
      </c>
      <c r="D1659" s="5">
        <v>154.13</v>
      </c>
      <c r="E1659" s="5">
        <v>184.06</v>
      </c>
      <c r="F1659" s="5">
        <v>230.98</v>
      </c>
      <c r="G1659" s="5">
        <v>266.32</v>
      </c>
      <c r="H1659" s="5">
        <v>310.26</v>
      </c>
    </row>
    <row r="1660" spans="1:8" ht="15" customHeight="1" x14ac:dyDescent="0.35">
      <c r="A1660" s="1" t="s">
        <v>103</v>
      </c>
      <c r="B1660" s="5">
        <v>117.57</v>
      </c>
      <c r="C1660" s="5">
        <v>147.25</v>
      </c>
      <c r="D1660" s="5">
        <v>157.09</v>
      </c>
      <c r="E1660" s="5">
        <v>187.6</v>
      </c>
      <c r="F1660" s="5">
        <v>235.42</v>
      </c>
      <c r="G1660" s="5">
        <v>271.44</v>
      </c>
      <c r="H1660" s="5">
        <v>316.22000000000003</v>
      </c>
    </row>
    <row r="1661" spans="1:8" ht="15" customHeight="1" x14ac:dyDescent="0.35">
      <c r="A1661" s="1" t="s">
        <v>104</v>
      </c>
      <c r="B1661" s="5">
        <v>119.79</v>
      </c>
      <c r="C1661" s="5">
        <v>150.03</v>
      </c>
      <c r="D1661" s="5">
        <v>160.06</v>
      </c>
      <c r="E1661" s="5">
        <v>191.14</v>
      </c>
      <c r="F1661" s="5">
        <v>239.86</v>
      </c>
      <c r="G1661" s="5">
        <v>276.56</v>
      </c>
      <c r="H1661" s="5">
        <v>322.19</v>
      </c>
    </row>
    <row r="1662" spans="1:8" ht="15" customHeight="1" x14ac:dyDescent="0.35">
      <c r="A1662" s="1" t="s">
        <v>105</v>
      </c>
      <c r="B1662" s="5">
        <v>122.01</v>
      </c>
      <c r="C1662" s="5">
        <v>152.81</v>
      </c>
      <c r="D1662" s="5">
        <v>163.02000000000001</v>
      </c>
      <c r="E1662" s="5">
        <v>194.68</v>
      </c>
      <c r="F1662" s="5">
        <v>244.3</v>
      </c>
      <c r="G1662" s="5">
        <v>281.68</v>
      </c>
      <c r="H1662" s="5">
        <v>328.16</v>
      </c>
    </row>
    <row r="1663" spans="1:8" ht="15" customHeight="1" x14ac:dyDescent="0.35">
      <c r="A1663" s="1" t="s">
        <v>106</v>
      </c>
      <c r="B1663" s="5">
        <v>124.23</v>
      </c>
      <c r="C1663" s="5">
        <v>155.59</v>
      </c>
      <c r="D1663" s="5">
        <v>165.98</v>
      </c>
      <c r="E1663" s="5">
        <v>198.22</v>
      </c>
      <c r="F1663" s="5">
        <v>248.74</v>
      </c>
      <c r="G1663" s="5">
        <v>286.8</v>
      </c>
      <c r="H1663" s="5">
        <v>334.12</v>
      </c>
    </row>
    <row r="1664" spans="1:8" ht="15" customHeight="1" x14ac:dyDescent="0.35">
      <c r="A1664" s="1" t="s">
        <v>107</v>
      </c>
      <c r="B1664" s="5">
        <v>126.44</v>
      </c>
      <c r="C1664" s="5">
        <v>158.37</v>
      </c>
      <c r="D1664" s="5">
        <v>168.95</v>
      </c>
      <c r="E1664" s="5">
        <v>201.76</v>
      </c>
      <c r="F1664" s="5">
        <v>253.18</v>
      </c>
      <c r="G1664" s="5">
        <v>291.92</v>
      </c>
      <c r="H1664" s="5">
        <v>340.09</v>
      </c>
    </row>
    <row r="1665" spans="1:8" ht="15" customHeight="1" x14ac:dyDescent="0.35">
      <c r="A1665" s="1" t="s">
        <v>108</v>
      </c>
      <c r="B1665" s="5">
        <v>128.66</v>
      </c>
      <c r="C1665" s="5">
        <v>161.13999999999999</v>
      </c>
      <c r="D1665" s="5">
        <v>171.91</v>
      </c>
      <c r="E1665" s="5">
        <v>205.3</v>
      </c>
      <c r="F1665" s="5">
        <v>257.63</v>
      </c>
      <c r="G1665" s="5">
        <v>297.05</v>
      </c>
      <c r="H1665" s="5">
        <v>346.06</v>
      </c>
    </row>
    <row r="1666" spans="1:8" ht="15" customHeight="1" x14ac:dyDescent="0.35">
      <c r="A1666" s="1" t="s">
        <v>109</v>
      </c>
      <c r="B1666" s="5">
        <v>130.88</v>
      </c>
      <c r="C1666" s="5">
        <v>163.92</v>
      </c>
      <c r="D1666" s="5">
        <v>174.88</v>
      </c>
      <c r="E1666" s="5">
        <v>208.84</v>
      </c>
      <c r="F1666" s="5">
        <v>262.07</v>
      </c>
      <c r="G1666" s="5">
        <v>302.17</v>
      </c>
      <c r="H1666" s="5">
        <v>352.02</v>
      </c>
    </row>
    <row r="1667" spans="1:8" ht="15" customHeight="1" x14ac:dyDescent="0.35">
      <c r="A1667" s="1" t="s">
        <v>110</v>
      </c>
      <c r="B1667" s="5">
        <v>133.1</v>
      </c>
      <c r="C1667" s="5">
        <v>166.7</v>
      </c>
      <c r="D1667" s="5">
        <v>177.84</v>
      </c>
      <c r="E1667" s="5">
        <v>212.38</v>
      </c>
      <c r="F1667" s="5">
        <v>266.51</v>
      </c>
      <c r="G1667" s="5">
        <v>307.29000000000002</v>
      </c>
      <c r="H1667" s="5">
        <v>357.99</v>
      </c>
    </row>
    <row r="1668" spans="1:8" ht="15" customHeight="1" x14ac:dyDescent="0.35">
      <c r="A1668" s="1" t="s">
        <v>111</v>
      </c>
      <c r="B1668" s="5">
        <v>135.32</v>
      </c>
      <c r="C1668" s="5">
        <v>169.48</v>
      </c>
      <c r="D1668" s="5">
        <v>180.8</v>
      </c>
      <c r="E1668" s="5">
        <v>215.92</v>
      </c>
      <c r="F1668" s="5">
        <v>270.95</v>
      </c>
      <c r="G1668" s="5">
        <v>312.41000000000003</v>
      </c>
      <c r="H1668" s="5">
        <v>363.96</v>
      </c>
    </row>
    <row r="1669" spans="1:8" ht="15" customHeight="1" x14ac:dyDescent="0.35">
      <c r="A1669" s="1" t="s">
        <v>112</v>
      </c>
      <c r="B1669" s="5">
        <v>137.54</v>
      </c>
      <c r="C1669" s="5">
        <v>172.26</v>
      </c>
      <c r="D1669" s="5">
        <v>183.77</v>
      </c>
      <c r="E1669" s="5">
        <v>219.46</v>
      </c>
      <c r="F1669" s="5">
        <v>275.39</v>
      </c>
      <c r="G1669" s="5">
        <v>317.52999999999997</v>
      </c>
      <c r="H1669" s="5">
        <v>369.92</v>
      </c>
    </row>
    <row r="1670" spans="1:8" ht="15" customHeight="1" x14ac:dyDescent="0.35">
      <c r="A1670" s="1" t="s">
        <v>113</v>
      </c>
      <c r="B1670" s="5">
        <v>139.75</v>
      </c>
      <c r="C1670" s="5">
        <v>175.04</v>
      </c>
      <c r="D1670" s="5">
        <v>186.73</v>
      </c>
      <c r="E1670" s="5">
        <v>223</v>
      </c>
      <c r="F1670" s="5">
        <v>279.83999999999997</v>
      </c>
      <c r="G1670" s="5">
        <v>322.64999999999998</v>
      </c>
      <c r="H1670" s="5">
        <v>375.89</v>
      </c>
    </row>
    <row r="1671" spans="1:8" ht="15" customHeight="1" x14ac:dyDescent="0.35">
      <c r="A1671" s="1" t="s">
        <v>114</v>
      </c>
      <c r="B1671" s="5">
        <v>141.97</v>
      </c>
      <c r="C1671" s="5">
        <v>177.82</v>
      </c>
      <c r="D1671" s="5">
        <v>189.7</v>
      </c>
      <c r="E1671" s="5">
        <v>226.54</v>
      </c>
      <c r="F1671" s="5">
        <v>284.27999999999997</v>
      </c>
      <c r="G1671" s="5">
        <v>327.77</v>
      </c>
      <c r="H1671" s="5">
        <v>381.85</v>
      </c>
    </row>
    <row r="1672" spans="1:8" ht="15" customHeight="1" x14ac:dyDescent="0.35">
      <c r="A1672" s="1" t="s">
        <v>115</v>
      </c>
      <c r="B1672" s="5">
        <v>144.19</v>
      </c>
      <c r="C1672" s="5">
        <v>180.59</v>
      </c>
      <c r="D1672" s="5">
        <v>192.66</v>
      </c>
      <c r="E1672" s="5">
        <v>230.08</v>
      </c>
      <c r="F1672" s="5">
        <v>288.72000000000003</v>
      </c>
      <c r="G1672" s="5">
        <v>332.9</v>
      </c>
      <c r="H1672" s="5">
        <v>387.82</v>
      </c>
    </row>
    <row r="1673" spans="1:8" ht="15" customHeight="1" x14ac:dyDescent="0.35">
      <c r="A1673" s="1" t="s">
        <v>116</v>
      </c>
      <c r="B1673" s="5">
        <v>146.41</v>
      </c>
      <c r="C1673" s="5">
        <v>183.37</v>
      </c>
      <c r="D1673" s="5">
        <v>195.62</v>
      </c>
      <c r="E1673" s="5">
        <v>233.62</v>
      </c>
      <c r="F1673" s="5">
        <v>293.16000000000003</v>
      </c>
      <c r="G1673" s="5">
        <v>338.02</v>
      </c>
      <c r="H1673" s="5">
        <v>393.79</v>
      </c>
    </row>
    <row r="1674" spans="1:8" ht="15" customHeight="1" x14ac:dyDescent="0.35">
      <c r="A1674" s="1" t="s">
        <v>117</v>
      </c>
      <c r="B1674" s="5">
        <v>148.63</v>
      </c>
      <c r="C1674" s="5">
        <v>186.15</v>
      </c>
      <c r="D1674" s="5">
        <v>198.59</v>
      </c>
      <c r="E1674" s="5">
        <v>237.16</v>
      </c>
      <c r="F1674" s="5">
        <v>297.60000000000002</v>
      </c>
      <c r="G1674" s="5">
        <v>343.14</v>
      </c>
      <c r="H1674" s="5">
        <v>399.75</v>
      </c>
    </row>
    <row r="1675" spans="1:8" ht="15" customHeight="1" x14ac:dyDescent="0.35">
      <c r="A1675" s="1" t="s">
        <v>118</v>
      </c>
      <c r="B1675" s="5">
        <v>150.85</v>
      </c>
      <c r="C1675" s="5">
        <v>188.93</v>
      </c>
      <c r="D1675" s="5">
        <v>201.55</v>
      </c>
      <c r="E1675" s="5">
        <v>240.7</v>
      </c>
      <c r="F1675" s="5">
        <v>302.05</v>
      </c>
      <c r="G1675" s="5">
        <v>348.26</v>
      </c>
      <c r="H1675" s="5">
        <v>405.72</v>
      </c>
    </row>
    <row r="1676" spans="1:8" ht="15" customHeight="1" x14ac:dyDescent="0.35">
      <c r="A1676" s="1" t="s">
        <v>119</v>
      </c>
      <c r="B1676" s="5">
        <v>153.06</v>
      </c>
      <c r="C1676" s="5">
        <v>191.71</v>
      </c>
      <c r="D1676" s="5">
        <v>204.52</v>
      </c>
      <c r="E1676" s="5">
        <v>244.24</v>
      </c>
      <c r="F1676" s="5">
        <v>306.49</v>
      </c>
      <c r="G1676" s="5">
        <v>353.38</v>
      </c>
      <c r="H1676" s="5">
        <v>411.69</v>
      </c>
    </row>
    <row r="1677" spans="1:8" ht="15" customHeight="1" x14ac:dyDescent="0.35">
      <c r="A1677" s="1" t="s">
        <v>120</v>
      </c>
      <c r="B1677" s="5">
        <v>155.28</v>
      </c>
      <c r="C1677" s="5">
        <v>194.49</v>
      </c>
      <c r="D1677" s="5">
        <v>207.48</v>
      </c>
      <c r="E1677" s="5">
        <v>247.77</v>
      </c>
      <c r="F1677" s="5">
        <v>310.93</v>
      </c>
      <c r="G1677" s="5">
        <v>358.5</v>
      </c>
      <c r="H1677" s="5">
        <v>417.65</v>
      </c>
    </row>
    <row r="1678" spans="1:8" ht="15" customHeight="1" x14ac:dyDescent="0.35">
      <c r="A1678" s="1" t="s">
        <v>121</v>
      </c>
      <c r="B1678" s="5">
        <v>157.5</v>
      </c>
      <c r="C1678" s="5">
        <v>197.26</v>
      </c>
      <c r="D1678" s="5">
        <v>210.44</v>
      </c>
      <c r="E1678" s="5">
        <v>251.31</v>
      </c>
      <c r="F1678" s="5">
        <v>315.37</v>
      </c>
      <c r="G1678" s="5">
        <v>363.63</v>
      </c>
      <c r="H1678" s="5">
        <v>423.62</v>
      </c>
    </row>
    <row r="1679" spans="1:8" ht="15" customHeight="1" x14ac:dyDescent="0.35">
      <c r="A1679" s="1" t="s">
        <v>122</v>
      </c>
      <c r="B1679" s="5">
        <v>159.72</v>
      </c>
      <c r="C1679" s="5">
        <v>200.04</v>
      </c>
      <c r="D1679" s="5">
        <v>213.41</v>
      </c>
      <c r="E1679" s="5">
        <v>254.85</v>
      </c>
      <c r="F1679" s="5">
        <v>319.81</v>
      </c>
      <c r="G1679" s="5">
        <v>368.75</v>
      </c>
      <c r="H1679" s="5">
        <v>429.59</v>
      </c>
    </row>
    <row r="1680" spans="1:8" ht="15" customHeight="1" x14ac:dyDescent="0.35">
      <c r="A1680" s="1" t="s">
        <v>123</v>
      </c>
      <c r="B1680" s="5">
        <v>161.94</v>
      </c>
      <c r="C1680" s="5">
        <v>202.82</v>
      </c>
      <c r="D1680" s="5">
        <v>216.37</v>
      </c>
      <c r="E1680" s="5">
        <v>258.39</v>
      </c>
      <c r="F1680" s="5">
        <v>324.25</v>
      </c>
      <c r="G1680" s="5">
        <v>373.87</v>
      </c>
      <c r="H1680" s="5">
        <v>435.55</v>
      </c>
    </row>
    <row r="1681" spans="1:8" ht="15" customHeight="1" x14ac:dyDescent="0.35">
      <c r="A1681" s="1" t="s">
        <v>124</v>
      </c>
      <c r="B1681" s="5">
        <v>164.16</v>
      </c>
      <c r="C1681" s="5">
        <v>205.6</v>
      </c>
      <c r="D1681" s="5">
        <v>219.34</v>
      </c>
      <c r="E1681" s="5">
        <v>261.93</v>
      </c>
      <c r="F1681" s="5">
        <v>328.7</v>
      </c>
      <c r="G1681" s="5">
        <v>378.99</v>
      </c>
      <c r="H1681" s="5">
        <v>441.52</v>
      </c>
    </row>
    <row r="1682" spans="1:8" ht="15" customHeight="1" x14ac:dyDescent="0.35">
      <c r="A1682" s="1" t="s">
        <v>125</v>
      </c>
      <c r="B1682" s="5">
        <v>166.37</v>
      </c>
      <c r="C1682" s="5">
        <v>208.38</v>
      </c>
      <c r="D1682" s="5">
        <v>222.3</v>
      </c>
      <c r="E1682" s="5">
        <v>265.47000000000003</v>
      </c>
      <c r="F1682" s="5">
        <v>333.14</v>
      </c>
      <c r="G1682" s="5">
        <v>384.11</v>
      </c>
      <c r="H1682" s="5">
        <v>447.49</v>
      </c>
    </row>
    <row r="1683" spans="1:8" ht="15" customHeight="1" x14ac:dyDescent="0.35">
      <c r="A1683" s="1" t="s">
        <v>126</v>
      </c>
      <c r="B1683" s="5">
        <v>168.59</v>
      </c>
      <c r="C1683" s="5">
        <v>211.16</v>
      </c>
      <c r="D1683" s="5">
        <v>225.26</v>
      </c>
      <c r="E1683" s="5">
        <v>269.01</v>
      </c>
      <c r="F1683" s="5">
        <v>337.58</v>
      </c>
      <c r="G1683" s="5">
        <v>389.23</v>
      </c>
      <c r="H1683" s="5">
        <v>453.45</v>
      </c>
    </row>
    <row r="1684" spans="1:8" ht="15" customHeight="1" x14ac:dyDescent="0.35">
      <c r="A1684" s="1" t="s">
        <v>127</v>
      </c>
      <c r="B1684" s="5">
        <v>170.81</v>
      </c>
      <c r="C1684" s="5">
        <v>213.93</v>
      </c>
      <c r="D1684" s="5">
        <v>228.23</v>
      </c>
      <c r="E1684" s="5">
        <v>272.55</v>
      </c>
      <c r="F1684" s="5">
        <v>342.02</v>
      </c>
      <c r="G1684" s="5">
        <v>394.35</v>
      </c>
      <c r="H1684" s="5">
        <v>459.42</v>
      </c>
    </row>
    <row r="1685" spans="1:8" ht="15" customHeight="1" x14ac:dyDescent="0.35">
      <c r="A1685" s="1" t="s">
        <v>128</v>
      </c>
      <c r="B1685" s="5">
        <v>173.03</v>
      </c>
      <c r="C1685" s="5">
        <v>216.71</v>
      </c>
      <c r="D1685" s="5">
        <v>231.19</v>
      </c>
      <c r="E1685" s="5">
        <v>276.08999999999997</v>
      </c>
      <c r="F1685" s="5">
        <v>346.46</v>
      </c>
      <c r="G1685" s="5">
        <v>399.48</v>
      </c>
      <c r="H1685" s="5">
        <v>465.39</v>
      </c>
    </row>
    <row r="1686" spans="1:8" ht="15" customHeight="1" x14ac:dyDescent="0.35">
      <c r="A1686" s="1" t="s">
        <v>129</v>
      </c>
      <c r="B1686" s="5">
        <v>175.25</v>
      </c>
      <c r="C1686" s="5">
        <v>219.49</v>
      </c>
      <c r="D1686" s="5">
        <v>234.16</v>
      </c>
      <c r="E1686" s="5">
        <v>279.63</v>
      </c>
      <c r="F1686" s="5">
        <v>350.91</v>
      </c>
      <c r="G1686" s="5">
        <v>404.6</v>
      </c>
      <c r="H1686" s="5">
        <v>471.35</v>
      </c>
    </row>
    <row r="1687" spans="1:8" ht="15" customHeight="1" x14ac:dyDescent="0.35">
      <c r="A1687" s="1" t="s">
        <v>130</v>
      </c>
      <c r="B1687" s="5">
        <v>177.47</v>
      </c>
      <c r="C1687" s="5">
        <v>222.27</v>
      </c>
      <c r="D1687" s="5">
        <v>237.12</v>
      </c>
      <c r="E1687" s="5">
        <v>283.17</v>
      </c>
      <c r="F1687" s="5">
        <v>355.35</v>
      </c>
      <c r="G1687" s="5">
        <v>409.72</v>
      </c>
      <c r="H1687" s="5">
        <v>477.32</v>
      </c>
    </row>
    <row r="1688" spans="1:8" ht="15" customHeight="1" x14ac:dyDescent="0.35">
      <c r="A1688" s="1" t="s">
        <v>131</v>
      </c>
      <c r="B1688" s="5">
        <v>179.68</v>
      </c>
      <c r="C1688" s="5">
        <v>225.05</v>
      </c>
      <c r="D1688" s="5">
        <v>240.08</v>
      </c>
      <c r="E1688" s="5">
        <v>286.70999999999998</v>
      </c>
      <c r="F1688" s="5">
        <v>359.79</v>
      </c>
      <c r="G1688" s="5">
        <v>414.84</v>
      </c>
      <c r="H1688" s="5">
        <v>483.28</v>
      </c>
    </row>
    <row r="1689" spans="1:8" ht="15" customHeight="1" x14ac:dyDescent="0.35">
      <c r="A1689" s="1" t="s">
        <v>132</v>
      </c>
      <c r="B1689" s="5">
        <v>181.9</v>
      </c>
      <c r="C1689" s="5">
        <v>227.83</v>
      </c>
      <c r="D1689" s="5">
        <v>243.05</v>
      </c>
      <c r="E1689" s="5">
        <v>290.25</v>
      </c>
      <c r="F1689" s="5">
        <v>364.23</v>
      </c>
      <c r="G1689" s="5">
        <v>419.96</v>
      </c>
      <c r="H1689" s="5">
        <v>489.25</v>
      </c>
    </row>
    <row r="1690" spans="1:8" ht="15" customHeight="1" x14ac:dyDescent="0.35">
      <c r="A1690" s="1" t="s">
        <v>133</v>
      </c>
      <c r="B1690" s="5">
        <v>184.12</v>
      </c>
      <c r="C1690" s="5">
        <v>230.6</v>
      </c>
      <c r="D1690" s="5">
        <v>246.01</v>
      </c>
      <c r="E1690" s="5">
        <v>293.79000000000002</v>
      </c>
      <c r="F1690" s="5">
        <v>368.67</v>
      </c>
      <c r="G1690" s="5">
        <v>425.08</v>
      </c>
      <c r="H1690" s="5">
        <v>495.22</v>
      </c>
    </row>
    <row r="1691" spans="1:8" ht="15" customHeight="1" x14ac:dyDescent="0.35">
      <c r="A1691" s="1" t="s">
        <v>134</v>
      </c>
      <c r="B1691" s="5">
        <v>186.34</v>
      </c>
      <c r="C1691" s="5">
        <v>233.38</v>
      </c>
      <c r="D1691" s="5">
        <v>248.98</v>
      </c>
      <c r="E1691" s="5">
        <v>297.33</v>
      </c>
      <c r="F1691" s="5">
        <v>373.11</v>
      </c>
      <c r="G1691" s="5">
        <v>430.2</v>
      </c>
      <c r="H1691" s="5">
        <v>501.18</v>
      </c>
    </row>
    <row r="1692" spans="1:8" ht="15" customHeight="1" x14ac:dyDescent="0.35">
      <c r="A1692" s="1" t="s">
        <v>135</v>
      </c>
      <c r="B1692" s="5">
        <v>188.56</v>
      </c>
      <c r="C1692" s="5">
        <v>236.16</v>
      </c>
      <c r="D1692" s="5">
        <v>251.94</v>
      </c>
      <c r="E1692" s="5">
        <v>300.87</v>
      </c>
      <c r="F1692" s="5">
        <v>377.56</v>
      </c>
      <c r="G1692" s="5">
        <v>435.33</v>
      </c>
      <c r="H1692" s="5">
        <v>507.15</v>
      </c>
    </row>
    <row r="1693" spans="1:8" ht="15" customHeight="1" x14ac:dyDescent="0.35">
      <c r="A1693" s="1" t="s">
        <v>136</v>
      </c>
      <c r="B1693" s="5">
        <v>190.78</v>
      </c>
      <c r="C1693" s="5">
        <v>238.94</v>
      </c>
      <c r="D1693" s="5">
        <v>254.9</v>
      </c>
      <c r="E1693" s="5">
        <v>304.41000000000003</v>
      </c>
      <c r="F1693" s="5">
        <v>382</v>
      </c>
      <c r="G1693" s="5">
        <v>440.45</v>
      </c>
      <c r="H1693" s="5">
        <v>513.12</v>
      </c>
    </row>
    <row r="1694" spans="1:8" ht="15" customHeight="1" x14ac:dyDescent="0.35">
      <c r="A1694" s="1" t="s">
        <v>137</v>
      </c>
      <c r="B1694" s="5">
        <v>192.99</v>
      </c>
      <c r="C1694" s="5">
        <v>241.72</v>
      </c>
      <c r="D1694" s="5">
        <v>257.87</v>
      </c>
      <c r="E1694" s="5">
        <v>307.95</v>
      </c>
      <c r="F1694" s="5">
        <v>386.44</v>
      </c>
      <c r="G1694" s="5">
        <v>445.57</v>
      </c>
      <c r="H1694" s="5">
        <v>519.08000000000004</v>
      </c>
    </row>
    <row r="1695" spans="1:8" ht="15" customHeight="1" x14ac:dyDescent="0.35">
      <c r="A1695" s="1" t="s">
        <v>138</v>
      </c>
      <c r="B1695" s="5">
        <v>195.21</v>
      </c>
      <c r="C1695" s="5">
        <v>244.5</v>
      </c>
      <c r="D1695" s="5">
        <v>260.83</v>
      </c>
      <c r="E1695" s="5">
        <v>311.49</v>
      </c>
      <c r="F1695" s="5">
        <v>390.88</v>
      </c>
      <c r="G1695" s="5">
        <v>450.69</v>
      </c>
      <c r="H1695" s="5">
        <v>525.04999999999995</v>
      </c>
    </row>
    <row r="1696" spans="1:8" ht="15" customHeight="1" x14ac:dyDescent="0.35">
      <c r="A1696" s="1" t="s">
        <v>139</v>
      </c>
      <c r="B1696" s="5">
        <v>197.43</v>
      </c>
      <c r="C1696" s="5">
        <v>247.27</v>
      </c>
      <c r="D1696" s="5">
        <v>263.8</v>
      </c>
      <c r="E1696" s="5">
        <v>315.02999999999997</v>
      </c>
      <c r="F1696" s="5">
        <v>395.32</v>
      </c>
      <c r="G1696" s="5">
        <v>455.81</v>
      </c>
      <c r="H1696" s="5">
        <v>531.02</v>
      </c>
    </row>
    <row r="1697" spans="1:11" ht="15" customHeight="1" x14ac:dyDescent="0.35">
      <c r="A1697" s="1" t="s">
        <v>140</v>
      </c>
      <c r="B1697" s="5">
        <v>199.65</v>
      </c>
      <c r="C1697" s="5">
        <v>250.05</v>
      </c>
      <c r="D1697" s="5">
        <v>266.76</v>
      </c>
      <c r="E1697" s="5">
        <v>318.57</v>
      </c>
      <c r="F1697" s="5">
        <v>399.77</v>
      </c>
      <c r="G1697" s="5">
        <v>460.93</v>
      </c>
      <c r="H1697" s="5">
        <v>536.98</v>
      </c>
    </row>
    <row r="1698" spans="1:11" ht="15" customHeight="1" x14ac:dyDescent="0.35">
      <c r="A1698" s="1" t="s">
        <v>141</v>
      </c>
      <c r="B1698" s="5">
        <v>201.87</v>
      </c>
      <c r="C1698" s="5">
        <v>252.83</v>
      </c>
      <c r="D1698" s="5">
        <v>269.72000000000003</v>
      </c>
      <c r="E1698" s="5">
        <v>322.11</v>
      </c>
      <c r="F1698" s="5">
        <v>404.21</v>
      </c>
      <c r="G1698" s="5">
        <v>466.05</v>
      </c>
      <c r="H1698" s="5">
        <v>542.95000000000005</v>
      </c>
    </row>
    <row r="1699" spans="1:11" ht="15" customHeight="1" x14ac:dyDescent="0.35">
      <c r="A1699" s="1" t="s">
        <v>142</v>
      </c>
      <c r="B1699" s="5">
        <v>204.09</v>
      </c>
      <c r="C1699" s="5">
        <v>255.61</v>
      </c>
      <c r="D1699" s="5">
        <v>272.69</v>
      </c>
      <c r="E1699" s="5">
        <v>325.64999999999998</v>
      </c>
      <c r="F1699" s="5">
        <v>408.65</v>
      </c>
      <c r="G1699" s="5">
        <v>471.18</v>
      </c>
      <c r="H1699" s="5">
        <v>548.91999999999996</v>
      </c>
    </row>
    <row r="1700" spans="1:11" ht="15" customHeight="1" x14ac:dyDescent="0.35">
      <c r="A1700" s="1" t="s">
        <v>143</v>
      </c>
      <c r="B1700" s="5">
        <v>206.3</v>
      </c>
      <c r="C1700" s="5">
        <v>258.39</v>
      </c>
      <c r="D1700" s="5">
        <v>275.64999999999998</v>
      </c>
      <c r="E1700" s="5">
        <v>329.19</v>
      </c>
      <c r="F1700" s="5">
        <v>413.09</v>
      </c>
      <c r="G1700" s="5">
        <v>476.3</v>
      </c>
      <c r="H1700" s="5">
        <v>554.88</v>
      </c>
    </row>
    <row r="1701" spans="1:11" ht="15" customHeight="1" x14ac:dyDescent="0.35">
      <c r="A1701" s="1" t="s">
        <v>144</v>
      </c>
      <c r="B1701" s="5">
        <v>208.52</v>
      </c>
      <c r="C1701" s="5">
        <v>261.17</v>
      </c>
      <c r="D1701" s="5">
        <v>278.62</v>
      </c>
      <c r="E1701" s="5">
        <v>332.73</v>
      </c>
      <c r="F1701" s="5">
        <v>417.53</v>
      </c>
      <c r="G1701" s="5">
        <v>481.42</v>
      </c>
      <c r="H1701" s="5">
        <v>560.85</v>
      </c>
    </row>
    <row r="1702" spans="1:11" ht="15" customHeight="1" x14ac:dyDescent="0.35">
      <c r="A1702" s="1" t="s">
        <v>145</v>
      </c>
      <c r="B1702" s="5">
        <v>210.74</v>
      </c>
      <c r="C1702" s="5">
        <v>263.94</v>
      </c>
      <c r="D1702" s="5">
        <v>281.58</v>
      </c>
      <c r="E1702" s="5">
        <v>336.27</v>
      </c>
      <c r="F1702" s="5">
        <v>421.97</v>
      </c>
      <c r="G1702" s="5">
        <v>486.54</v>
      </c>
      <c r="H1702" s="5">
        <v>566.82000000000005</v>
      </c>
    </row>
    <row r="1703" spans="1:11" ht="15" customHeight="1" x14ac:dyDescent="0.35">
      <c r="A1703" s="1" t="s">
        <v>146</v>
      </c>
      <c r="B1703" s="5">
        <v>212.96</v>
      </c>
      <c r="C1703" s="5">
        <v>266.72000000000003</v>
      </c>
      <c r="D1703" s="5">
        <v>284.54000000000002</v>
      </c>
      <c r="E1703" s="5">
        <v>339.81</v>
      </c>
      <c r="F1703" s="5">
        <v>426.42</v>
      </c>
      <c r="G1703" s="5">
        <v>491.66</v>
      </c>
      <c r="H1703" s="5">
        <v>572.78</v>
      </c>
    </row>
    <row r="1704" spans="1:11" ht="15" customHeight="1" x14ac:dyDescent="0.35">
      <c r="A1704" s="1" t="s">
        <v>147</v>
      </c>
      <c r="B1704" s="5">
        <v>215.18</v>
      </c>
      <c r="C1704" s="5">
        <v>269.5</v>
      </c>
      <c r="D1704" s="5">
        <v>287.51</v>
      </c>
      <c r="E1704" s="5">
        <v>343.35</v>
      </c>
      <c r="F1704" s="5">
        <v>430.86</v>
      </c>
      <c r="G1704" s="5">
        <v>496.78</v>
      </c>
      <c r="H1704" s="5">
        <v>578.75</v>
      </c>
    </row>
    <row r="1705" spans="1:11" ht="15" customHeight="1" x14ac:dyDescent="0.35">
      <c r="A1705" s="1" t="s">
        <v>148</v>
      </c>
      <c r="B1705" s="5">
        <v>217.4</v>
      </c>
      <c r="C1705" s="5">
        <v>272.27999999999997</v>
      </c>
      <c r="D1705" s="5">
        <v>290.47000000000003</v>
      </c>
      <c r="E1705" s="5">
        <v>346.88</v>
      </c>
      <c r="F1705" s="5">
        <v>435.3</v>
      </c>
      <c r="G1705" s="5">
        <v>501.91</v>
      </c>
      <c r="H1705" s="5">
        <v>584.72</v>
      </c>
    </row>
    <row r="1706" spans="1:11" ht="15" customHeight="1" x14ac:dyDescent="0.35">
      <c r="A1706" s="1" t="s">
        <v>149</v>
      </c>
      <c r="B1706" s="5">
        <v>219.61</v>
      </c>
      <c r="C1706" s="5">
        <v>275.06</v>
      </c>
      <c r="D1706" s="5">
        <v>293.44</v>
      </c>
      <c r="E1706" s="5">
        <v>350.42</v>
      </c>
      <c r="F1706" s="5">
        <v>439.74</v>
      </c>
      <c r="G1706" s="5">
        <v>507.03</v>
      </c>
      <c r="H1706" s="5">
        <v>590.67999999999995</v>
      </c>
    </row>
    <row r="1707" spans="1:11" ht="15" customHeight="1" x14ac:dyDescent="0.35">
      <c r="A1707" s="1" t="s">
        <v>150</v>
      </c>
      <c r="B1707" s="5">
        <v>221.83</v>
      </c>
      <c r="C1707" s="5">
        <v>277.83999999999997</v>
      </c>
      <c r="D1707" s="5">
        <v>296.39999999999998</v>
      </c>
      <c r="E1707" s="5">
        <v>353.96</v>
      </c>
      <c r="F1707" s="5">
        <v>444.18</v>
      </c>
      <c r="G1707" s="5">
        <v>512.15</v>
      </c>
      <c r="H1707" s="5">
        <v>596.65</v>
      </c>
    </row>
    <row r="1708" spans="1:11" ht="15" customHeight="1" x14ac:dyDescent="0.3">
      <c r="A1708" s="1" t="s">
        <v>35</v>
      </c>
    </row>
    <row r="1711" spans="1:11" ht="15" customHeight="1" x14ac:dyDescent="0.3">
      <c r="A1711" s="7" t="s">
        <v>0</v>
      </c>
      <c r="B1711" s="7"/>
      <c r="C1711" s="7"/>
      <c r="D1711" s="7"/>
      <c r="E1711" s="7"/>
    </row>
    <row r="1712" spans="1:11" ht="15" customHeight="1" x14ac:dyDescent="0.35">
      <c r="A1712" s="8" t="s">
        <v>151</v>
      </c>
      <c r="B1712" s="8"/>
      <c r="C1712" s="8"/>
      <c r="D1712" s="8"/>
      <c r="E1712" s="8"/>
      <c r="F1712" s="8"/>
      <c r="G1712" s="8"/>
      <c r="H1712" s="7" t="s">
        <v>25</v>
      </c>
      <c r="I1712" s="7"/>
      <c r="J1712" s="7"/>
      <c r="K1712" s="7"/>
    </row>
    <row r="1716" spans="1:8" ht="15" customHeight="1" x14ac:dyDescent="0.3">
      <c r="A1716" s="1" t="s">
        <v>26</v>
      </c>
    </row>
    <row r="1717" spans="1:8" ht="15" customHeight="1" x14ac:dyDescent="0.3">
      <c r="A1717" s="1" t="s">
        <v>0</v>
      </c>
    </row>
    <row r="1718" spans="1:8" ht="15" customHeight="1" x14ac:dyDescent="0.3">
      <c r="A1718" s="1" t="s">
        <v>0</v>
      </c>
    </row>
    <row r="1719" spans="1:8" ht="15" customHeight="1" x14ac:dyDescent="0.3">
      <c r="A1719" s="1" t="s">
        <v>27</v>
      </c>
      <c r="B1719" s="1" t="s">
        <v>28</v>
      </c>
    </row>
    <row r="1720" spans="1:8" ht="15" customHeight="1" x14ac:dyDescent="0.35">
      <c r="A1720" s="1" t="s">
        <v>152</v>
      </c>
      <c r="B1720" s="3">
        <v>0.08</v>
      </c>
    </row>
    <row r="1722" spans="1:8" ht="15" customHeight="1" x14ac:dyDescent="0.3">
      <c r="A1722" s="1" t="s">
        <v>60</v>
      </c>
    </row>
    <row r="1723" spans="1:8" ht="15" customHeight="1" x14ac:dyDescent="0.3">
      <c r="A1723" s="1" t="s">
        <v>61</v>
      </c>
      <c r="B1723" s="1" t="s">
        <v>65</v>
      </c>
    </row>
    <row r="1724" spans="1:8" ht="15" customHeight="1" x14ac:dyDescent="0.3">
      <c r="A1724" s="1" t="s">
        <v>0</v>
      </c>
    </row>
    <row r="1725" spans="1:8" ht="15" customHeight="1" x14ac:dyDescent="0.35">
      <c r="A1725" s="2" t="s">
        <v>32</v>
      </c>
      <c r="B1725" s="8" t="s">
        <v>33</v>
      </c>
      <c r="C1725" s="8"/>
    </row>
    <row r="1726" spans="1:8" ht="15" customHeight="1" x14ac:dyDescent="0.35">
      <c r="A1726" s="2" t="s">
        <v>34</v>
      </c>
      <c r="B1726" s="2">
        <v>2</v>
      </c>
      <c r="C1726" s="2">
        <v>3</v>
      </c>
      <c r="D1726" s="2">
        <v>4</v>
      </c>
      <c r="E1726" s="2">
        <v>5</v>
      </c>
      <c r="F1726" s="2">
        <v>6</v>
      </c>
      <c r="G1726" s="2">
        <v>7</v>
      </c>
      <c r="H1726" s="2">
        <v>8</v>
      </c>
    </row>
    <row r="1727" spans="1:8" ht="15" customHeight="1" x14ac:dyDescent="0.3">
      <c r="A1727" s="1" t="s">
        <v>0</v>
      </c>
    </row>
    <row r="1728" spans="1:8" ht="15" customHeight="1" x14ac:dyDescent="0.35">
      <c r="A1728" s="1" t="s">
        <v>70</v>
      </c>
      <c r="B1728" s="4">
        <v>86</v>
      </c>
      <c r="C1728" s="4">
        <v>86</v>
      </c>
      <c r="D1728" s="4">
        <v>86</v>
      </c>
      <c r="E1728" s="4">
        <v>86</v>
      </c>
      <c r="F1728" s="5">
        <v>102.43</v>
      </c>
      <c r="G1728" s="5">
        <v>118.61</v>
      </c>
      <c r="H1728" s="5">
        <v>138.18</v>
      </c>
    </row>
    <row r="1729" spans="1:8" ht="15" customHeight="1" x14ac:dyDescent="0.35">
      <c r="A1729" s="1" t="s">
        <v>71</v>
      </c>
      <c r="B1729" s="4">
        <v>86</v>
      </c>
      <c r="C1729" s="4">
        <v>86</v>
      </c>
      <c r="D1729" s="4">
        <v>86</v>
      </c>
      <c r="E1729" s="4">
        <v>86</v>
      </c>
      <c r="F1729" s="5">
        <v>107.55</v>
      </c>
      <c r="G1729" s="5">
        <v>124.54</v>
      </c>
      <c r="H1729" s="5">
        <v>145.09</v>
      </c>
    </row>
    <row r="1730" spans="1:8" ht="15" customHeight="1" x14ac:dyDescent="0.35">
      <c r="A1730" s="1" t="s">
        <v>72</v>
      </c>
      <c r="B1730" s="4">
        <v>86</v>
      </c>
      <c r="C1730" s="4">
        <v>86</v>
      </c>
      <c r="D1730" s="4">
        <v>86</v>
      </c>
      <c r="E1730" s="5">
        <v>89.47</v>
      </c>
      <c r="F1730" s="5">
        <v>112.67</v>
      </c>
      <c r="G1730" s="5">
        <v>130.47</v>
      </c>
      <c r="H1730" s="5">
        <v>152</v>
      </c>
    </row>
    <row r="1731" spans="1:8" ht="15" customHeight="1" x14ac:dyDescent="0.35">
      <c r="A1731" s="1" t="s">
        <v>73</v>
      </c>
      <c r="B1731" s="4">
        <v>86</v>
      </c>
      <c r="C1731" s="4">
        <v>86</v>
      </c>
      <c r="D1731" s="4">
        <v>86</v>
      </c>
      <c r="E1731" s="5">
        <v>93.54</v>
      </c>
      <c r="F1731" s="5">
        <v>117.79</v>
      </c>
      <c r="G1731" s="5">
        <v>136.4</v>
      </c>
      <c r="H1731" s="5">
        <v>158.91</v>
      </c>
    </row>
    <row r="1732" spans="1:8" ht="15" customHeight="1" x14ac:dyDescent="0.35">
      <c r="A1732" s="1" t="s">
        <v>74</v>
      </c>
      <c r="B1732" s="4">
        <v>86</v>
      </c>
      <c r="C1732" s="4">
        <v>86</v>
      </c>
      <c r="D1732" s="4">
        <v>86</v>
      </c>
      <c r="E1732" s="5">
        <v>97.61</v>
      </c>
      <c r="F1732" s="5">
        <v>122.92</v>
      </c>
      <c r="G1732" s="5">
        <v>142.33000000000001</v>
      </c>
      <c r="H1732" s="5">
        <v>165.82</v>
      </c>
    </row>
    <row r="1733" spans="1:8" ht="15" customHeight="1" x14ac:dyDescent="0.35">
      <c r="A1733" s="1" t="s">
        <v>75</v>
      </c>
      <c r="B1733" s="4">
        <v>86</v>
      </c>
      <c r="C1733" s="4">
        <v>86</v>
      </c>
      <c r="D1733" s="4">
        <v>86</v>
      </c>
      <c r="E1733" s="5">
        <v>101.67</v>
      </c>
      <c r="F1733" s="5">
        <v>128.04</v>
      </c>
      <c r="G1733" s="5">
        <v>148.27000000000001</v>
      </c>
      <c r="H1733" s="5">
        <v>172.73</v>
      </c>
    </row>
    <row r="1734" spans="1:8" ht="15" customHeight="1" x14ac:dyDescent="0.35">
      <c r="A1734" s="1" t="s">
        <v>76</v>
      </c>
      <c r="B1734" s="4">
        <v>86</v>
      </c>
      <c r="C1734" s="4">
        <v>86</v>
      </c>
      <c r="D1734" s="5">
        <v>88.68</v>
      </c>
      <c r="E1734" s="5">
        <v>105.74</v>
      </c>
      <c r="F1734" s="5">
        <v>133.16</v>
      </c>
      <c r="G1734" s="5">
        <v>154.19999999999999</v>
      </c>
      <c r="H1734" s="5">
        <v>179.64</v>
      </c>
    </row>
    <row r="1735" spans="1:8" ht="15" customHeight="1" x14ac:dyDescent="0.35">
      <c r="A1735" s="1" t="s">
        <v>77</v>
      </c>
      <c r="B1735" s="4">
        <v>86</v>
      </c>
      <c r="C1735" s="5">
        <v>86.36</v>
      </c>
      <c r="D1735" s="5">
        <v>92.09</v>
      </c>
      <c r="E1735" s="5">
        <v>109.81</v>
      </c>
      <c r="F1735" s="5">
        <v>138.28</v>
      </c>
      <c r="G1735" s="5">
        <v>160.13</v>
      </c>
      <c r="H1735" s="5">
        <v>186.55</v>
      </c>
    </row>
    <row r="1736" spans="1:8" ht="15" customHeight="1" x14ac:dyDescent="0.35">
      <c r="A1736" s="1" t="s">
        <v>78</v>
      </c>
      <c r="B1736" s="4">
        <v>86</v>
      </c>
      <c r="C1736" s="5">
        <v>89.56</v>
      </c>
      <c r="D1736" s="5">
        <v>95.5</v>
      </c>
      <c r="E1736" s="5">
        <v>113.87</v>
      </c>
      <c r="F1736" s="5">
        <v>143.4</v>
      </c>
      <c r="G1736" s="5">
        <v>166.06</v>
      </c>
      <c r="H1736" s="5">
        <v>193.46</v>
      </c>
    </row>
    <row r="1737" spans="1:8" ht="15" customHeight="1" x14ac:dyDescent="0.35">
      <c r="A1737" s="1" t="s">
        <v>79</v>
      </c>
      <c r="B1737" s="4">
        <v>86</v>
      </c>
      <c r="C1737" s="5">
        <v>92.76</v>
      </c>
      <c r="D1737" s="5">
        <v>98.91</v>
      </c>
      <c r="E1737" s="5">
        <v>117.94</v>
      </c>
      <c r="F1737" s="5">
        <v>148.52000000000001</v>
      </c>
      <c r="G1737" s="5">
        <v>171.99</v>
      </c>
      <c r="H1737" s="5">
        <v>200.37</v>
      </c>
    </row>
    <row r="1738" spans="1:8" ht="15" customHeight="1" x14ac:dyDescent="0.35">
      <c r="A1738" s="1" t="s">
        <v>80</v>
      </c>
      <c r="B1738" s="4">
        <v>86</v>
      </c>
      <c r="C1738" s="5">
        <v>95.96</v>
      </c>
      <c r="D1738" s="5">
        <v>102.32</v>
      </c>
      <c r="E1738" s="5">
        <v>122.01</v>
      </c>
      <c r="F1738" s="5">
        <v>153.63999999999999</v>
      </c>
      <c r="G1738" s="5">
        <v>177.92</v>
      </c>
      <c r="H1738" s="5">
        <v>207.28</v>
      </c>
    </row>
    <row r="1739" spans="1:8" ht="15" customHeight="1" x14ac:dyDescent="0.35">
      <c r="A1739" s="1" t="s">
        <v>81</v>
      </c>
      <c r="B1739" s="4">
        <v>86</v>
      </c>
      <c r="C1739" s="5">
        <v>99.15</v>
      </c>
      <c r="D1739" s="5">
        <v>105.73</v>
      </c>
      <c r="E1739" s="5">
        <v>126.07</v>
      </c>
      <c r="F1739" s="5">
        <v>158.77000000000001</v>
      </c>
      <c r="G1739" s="5">
        <v>183.85</v>
      </c>
      <c r="H1739" s="5">
        <v>214.19</v>
      </c>
    </row>
    <row r="1740" spans="1:8" ht="15" customHeight="1" x14ac:dyDescent="0.35">
      <c r="A1740" s="1" t="s">
        <v>82</v>
      </c>
      <c r="B1740" s="4">
        <v>86</v>
      </c>
      <c r="C1740" s="5">
        <v>102.35</v>
      </c>
      <c r="D1740" s="5">
        <v>109.14</v>
      </c>
      <c r="E1740" s="5">
        <v>130.13999999999999</v>
      </c>
      <c r="F1740" s="5">
        <v>163.89</v>
      </c>
      <c r="G1740" s="5">
        <v>189.78</v>
      </c>
      <c r="H1740" s="5">
        <v>221.1</v>
      </c>
    </row>
    <row r="1741" spans="1:8" ht="15" customHeight="1" x14ac:dyDescent="0.35">
      <c r="A1741" s="1" t="s">
        <v>83</v>
      </c>
      <c r="B1741" s="4">
        <v>86</v>
      </c>
      <c r="C1741" s="5">
        <v>105.55</v>
      </c>
      <c r="D1741" s="5">
        <v>112.55</v>
      </c>
      <c r="E1741" s="5">
        <v>134.21</v>
      </c>
      <c r="F1741" s="5">
        <v>169.01</v>
      </c>
      <c r="G1741" s="5">
        <v>195.71</v>
      </c>
      <c r="H1741" s="5">
        <v>228</v>
      </c>
    </row>
    <row r="1742" spans="1:8" ht="15" customHeight="1" x14ac:dyDescent="0.35">
      <c r="A1742" s="1" t="s">
        <v>84</v>
      </c>
      <c r="B1742" s="5">
        <v>87.07</v>
      </c>
      <c r="C1742" s="5">
        <v>108.75</v>
      </c>
      <c r="D1742" s="5">
        <v>115.96</v>
      </c>
      <c r="E1742" s="5">
        <v>138.28</v>
      </c>
      <c r="F1742" s="5">
        <v>174.13</v>
      </c>
      <c r="G1742" s="5">
        <v>201.64</v>
      </c>
      <c r="H1742" s="5">
        <v>234.91</v>
      </c>
    </row>
    <row r="1743" spans="1:8" ht="15" customHeight="1" x14ac:dyDescent="0.35">
      <c r="A1743" s="1" t="s">
        <v>85</v>
      </c>
      <c r="B1743" s="5">
        <v>89.64</v>
      </c>
      <c r="C1743" s="5">
        <v>111.95</v>
      </c>
      <c r="D1743" s="5">
        <v>119.37</v>
      </c>
      <c r="E1743" s="5">
        <v>142.34</v>
      </c>
      <c r="F1743" s="5">
        <v>179.25</v>
      </c>
      <c r="G1743" s="5">
        <v>207.57</v>
      </c>
      <c r="H1743" s="5">
        <v>241.82</v>
      </c>
    </row>
    <row r="1744" spans="1:8" ht="15" customHeight="1" x14ac:dyDescent="0.35">
      <c r="A1744" s="1" t="s">
        <v>86</v>
      </c>
      <c r="B1744" s="5">
        <v>92.2</v>
      </c>
      <c r="C1744" s="5">
        <v>115.15</v>
      </c>
      <c r="D1744" s="5">
        <v>122.78</v>
      </c>
      <c r="E1744" s="5">
        <v>146.41</v>
      </c>
      <c r="F1744" s="5">
        <v>184.37</v>
      </c>
      <c r="G1744" s="5">
        <v>213.5</v>
      </c>
      <c r="H1744" s="5">
        <v>248.73</v>
      </c>
    </row>
    <row r="1745" spans="1:8" ht="15" customHeight="1" x14ac:dyDescent="0.35">
      <c r="A1745" s="1" t="s">
        <v>87</v>
      </c>
      <c r="B1745" s="5">
        <v>94.76</v>
      </c>
      <c r="C1745" s="5">
        <v>118.35</v>
      </c>
      <c r="D1745" s="5">
        <v>126.2</v>
      </c>
      <c r="E1745" s="5">
        <v>150.47999999999999</v>
      </c>
      <c r="F1745" s="5">
        <v>189.49</v>
      </c>
      <c r="G1745" s="5">
        <v>219.43</v>
      </c>
      <c r="H1745" s="5">
        <v>255.64</v>
      </c>
    </row>
    <row r="1746" spans="1:8" ht="15" customHeight="1" x14ac:dyDescent="0.35">
      <c r="A1746" s="1" t="s">
        <v>88</v>
      </c>
      <c r="B1746" s="5">
        <v>97.32</v>
      </c>
      <c r="C1746" s="5">
        <v>121.54</v>
      </c>
      <c r="D1746" s="5">
        <v>129.61000000000001</v>
      </c>
      <c r="E1746" s="5">
        <v>154.54</v>
      </c>
      <c r="F1746" s="5">
        <v>194.62</v>
      </c>
      <c r="G1746" s="5">
        <v>225.36</v>
      </c>
      <c r="H1746" s="5">
        <v>262.55</v>
      </c>
    </row>
    <row r="1747" spans="1:8" ht="15" customHeight="1" x14ac:dyDescent="0.35">
      <c r="A1747" s="1" t="s">
        <v>89</v>
      </c>
      <c r="B1747" s="5">
        <v>99.88</v>
      </c>
      <c r="C1747" s="5">
        <v>124.74</v>
      </c>
      <c r="D1747" s="5">
        <v>133.02000000000001</v>
      </c>
      <c r="E1747" s="5">
        <v>158.61000000000001</v>
      </c>
      <c r="F1747" s="5">
        <v>199.74</v>
      </c>
      <c r="G1747" s="5">
        <v>231.29</v>
      </c>
      <c r="H1747" s="5">
        <v>269.45999999999998</v>
      </c>
    </row>
    <row r="1748" spans="1:8" ht="15" customHeight="1" x14ac:dyDescent="0.35">
      <c r="A1748" s="1" t="s">
        <v>90</v>
      </c>
      <c r="B1748" s="5">
        <v>102.44</v>
      </c>
      <c r="C1748" s="5">
        <v>127.94</v>
      </c>
      <c r="D1748" s="5">
        <v>136.43</v>
      </c>
      <c r="E1748" s="5">
        <v>162.68</v>
      </c>
      <c r="F1748" s="5">
        <v>204.86</v>
      </c>
      <c r="G1748" s="5">
        <v>237.22</v>
      </c>
      <c r="H1748" s="5">
        <v>276.37</v>
      </c>
    </row>
    <row r="1749" spans="1:8" ht="15" customHeight="1" x14ac:dyDescent="0.35">
      <c r="A1749" s="1" t="s">
        <v>91</v>
      </c>
      <c r="B1749" s="5">
        <v>105</v>
      </c>
      <c r="C1749" s="5">
        <v>131.13999999999999</v>
      </c>
      <c r="D1749" s="5">
        <v>139.84</v>
      </c>
      <c r="E1749" s="5">
        <v>166.74</v>
      </c>
      <c r="F1749" s="5">
        <v>209.98</v>
      </c>
      <c r="G1749" s="5">
        <v>243.15</v>
      </c>
      <c r="H1749" s="5">
        <v>283.27999999999997</v>
      </c>
    </row>
    <row r="1750" spans="1:8" ht="15" customHeight="1" x14ac:dyDescent="0.35">
      <c r="A1750" s="1" t="s">
        <v>92</v>
      </c>
      <c r="B1750" s="5">
        <v>107.56</v>
      </c>
      <c r="C1750" s="5">
        <v>134.34</v>
      </c>
      <c r="D1750" s="5">
        <v>143.25</v>
      </c>
      <c r="E1750" s="5">
        <v>170.81</v>
      </c>
      <c r="F1750" s="5">
        <v>215.1</v>
      </c>
      <c r="G1750" s="5">
        <v>249.09</v>
      </c>
      <c r="H1750" s="5">
        <v>290.19</v>
      </c>
    </row>
    <row r="1751" spans="1:8" ht="15" customHeight="1" x14ac:dyDescent="0.35">
      <c r="A1751" s="1" t="s">
        <v>93</v>
      </c>
      <c r="B1751" s="5">
        <v>110.12</v>
      </c>
      <c r="C1751" s="5">
        <v>137.54</v>
      </c>
      <c r="D1751" s="5">
        <v>146.66</v>
      </c>
      <c r="E1751" s="5">
        <v>174.88</v>
      </c>
      <c r="F1751" s="5">
        <v>220.22</v>
      </c>
      <c r="G1751" s="5">
        <v>255.02</v>
      </c>
      <c r="H1751" s="5">
        <v>297.10000000000002</v>
      </c>
    </row>
    <row r="1752" spans="1:8" ht="15" customHeight="1" x14ac:dyDescent="0.35">
      <c r="A1752" s="1" t="s">
        <v>94</v>
      </c>
      <c r="B1752" s="5">
        <v>112.68</v>
      </c>
      <c r="C1752" s="5">
        <v>140.72999999999999</v>
      </c>
      <c r="D1752" s="5">
        <v>150.07</v>
      </c>
      <c r="E1752" s="5">
        <v>178.94</v>
      </c>
      <c r="F1752" s="5">
        <v>225.35</v>
      </c>
      <c r="G1752" s="5">
        <v>260.95</v>
      </c>
      <c r="H1752" s="5">
        <v>304.01</v>
      </c>
    </row>
    <row r="1753" spans="1:8" ht="15" customHeight="1" x14ac:dyDescent="0.35">
      <c r="A1753" s="1" t="s">
        <v>95</v>
      </c>
      <c r="B1753" s="5">
        <v>115.25</v>
      </c>
      <c r="C1753" s="5">
        <v>143.93</v>
      </c>
      <c r="D1753" s="5">
        <v>153.47999999999999</v>
      </c>
      <c r="E1753" s="5">
        <v>183.01</v>
      </c>
      <c r="F1753" s="5">
        <v>230.47</v>
      </c>
      <c r="G1753" s="5">
        <v>266.88</v>
      </c>
      <c r="H1753" s="5">
        <v>310.92</v>
      </c>
    </row>
    <row r="1754" spans="1:8" ht="15" customHeight="1" x14ac:dyDescent="0.35">
      <c r="A1754" s="1" t="s">
        <v>96</v>
      </c>
      <c r="B1754" s="5">
        <v>117.81</v>
      </c>
      <c r="C1754" s="5">
        <v>147.13</v>
      </c>
      <c r="D1754" s="5">
        <v>156.88999999999999</v>
      </c>
      <c r="E1754" s="5">
        <v>187.08</v>
      </c>
      <c r="F1754" s="5">
        <v>235.59</v>
      </c>
      <c r="G1754" s="5">
        <v>272.81</v>
      </c>
      <c r="H1754" s="5">
        <v>317.83</v>
      </c>
    </row>
    <row r="1755" spans="1:8" ht="15" customHeight="1" x14ac:dyDescent="0.35">
      <c r="A1755" s="1" t="s">
        <v>97</v>
      </c>
      <c r="B1755" s="5">
        <v>120.37</v>
      </c>
      <c r="C1755" s="5">
        <v>150.33000000000001</v>
      </c>
      <c r="D1755" s="5">
        <v>160.30000000000001</v>
      </c>
      <c r="E1755" s="5">
        <v>191.15</v>
      </c>
      <c r="F1755" s="5">
        <v>240.71</v>
      </c>
      <c r="G1755" s="5">
        <v>278.74</v>
      </c>
      <c r="H1755" s="5">
        <v>324.73</v>
      </c>
    </row>
    <row r="1756" spans="1:8" ht="15" customHeight="1" x14ac:dyDescent="0.35">
      <c r="A1756" s="1" t="s">
        <v>98</v>
      </c>
      <c r="B1756" s="5">
        <v>122.93</v>
      </c>
      <c r="C1756" s="5">
        <v>153.53</v>
      </c>
      <c r="D1756" s="5">
        <v>163.71</v>
      </c>
      <c r="E1756" s="5">
        <v>195.21</v>
      </c>
      <c r="F1756" s="5">
        <v>245.83</v>
      </c>
      <c r="G1756" s="5">
        <v>284.67</v>
      </c>
      <c r="H1756" s="5">
        <v>331.64</v>
      </c>
    </row>
    <row r="1757" spans="1:8" ht="15" customHeight="1" x14ac:dyDescent="0.35">
      <c r="A1757" s="1" t="s">
        <v>99</v>
      </c>
      <c r="B1757" s="5">
        <v>125.49</v>
      </c>
      <c r="C1757" s="5">
        <v>156.72999999999999</v>
      </c>
      <c r="D1757" s="5">
        <v>167.12</v>
      </c>
      <c r="E1757" s="5">
        <v>199.28</v>
      </c>
      <c r="F1757" s="5">
        <v>250.95</v>
      </c>
      <c r="G1757" s="5">
        <v>290.60000000000002</v>
      </c>
      <c r="H1757" s="5">
        <v>338.55</v>
      </c>
    </row>
    <row r="1758" spans="1:8" ht="15" customHeight="1" x14ac:dyDescent="0.35">
      <c r="A1758" s="1" t="s">
        <v>100</v>
      </c>
      <c r="B1758" s="5">
        <v>110.92</v>
      </c>
      <c r="C1758" s="5">
        <v>138.91999999999999</v>
      </c>
      <c r="D1758" s="5">
        <v>148.19999999999999</v>
      </c>
      <c r="E1758" s="5">
        <v>176.98</v>
      </c>
      <c r="F1758" s="5">
        <v>222.09</v>
      </c>
      <c r="G1758" s="5">
        <v>256.07</v>
      </c>
      <c r="H1758" s="5">
        <v>298.32</v>
      </c>
    </row>
    <row r="1759" spans="1:8" ht="15" customHeight="1" x14ac:dyDescent="0.35">
      <c r="A1759" s="1" t="s">
        <v>101</v>
      </c>
      <c r="B1759" s="5">
        <v>113.13</v>
      </c>
      <c r="C1759" s="5">
        <v>141.69999999999999</v>
      </c>
      <c r="D1759" s="5">
        <v>151.16</v>
      </c>
      <c r="E1759" s="5">
        <v>180.52</v>
      </c>
      <c r="F1759" s="5">
        <v>226.53</v>
      </c>
      <c r="G1759" s="5">
        <v>261.2</v>
      </c>
      <c r="H1759" s="5">
        <v>304.29000000000002</v>
      </c>
    </row>
    <row r="1760" spans="1:8" ht="15" customHeight="1" x14ac:dyDescent="0.35">
      <c r="A1760" s="1" t="s">
        <v>102</v>
      </c>
      <c r="B1760" s="5">
        <v>115.35</v>
      </c>
      <c r="C1760" s="5">
        <v>144.47</v>
      </c>
      <c r="D1760" s="5">
        <v>154.13</v>
      </c>
      <c r="E1760" s="5">
        <v>184.06</v>
      </c>
      <c r="F1760" s="5">
        <v>230.98</v>
      </c>
      <c r="G1760" s="5">
        <v>266.32</v>
      </c>
      <c r="H1760" s="5">
        <v>310.26</v>
      </c>
    </row>
    <row r="1761" spans="1:8" ht="15" customHeight="1" x14ac:dyDescent="0.35">
      <c r="A1761" s="1" t="s">
        <v>103</v>
      </c>
      <c r="B1761" s="5">
        <v>117.57</v>
      </c>
      <c r="C1761" s="5">
        <v>147.25</v>
      </c>
      <c r="D1761" s="5">
        <v>157.09</v>
      </c>
      <c r="E1761" s="5">
        <v>187.6</v>
      </c>
      <c r="F1761" s="5">
        <v>235.42</v>
      </c>
      <c r="G1761" s="5">
        <v>271.44</v>
      </c>
      <c r="H1761" s="5">
        <v>316.22000000000003</v>
      </c>
    </row>
    <row r="1762" spans="1:8" ht="15" customHeight="1" x14ac:dyDescent="0.35">
      <c r="A1762" s="1" t="s">
        <v>104</v>
      </c>
      <c r="B1762" s="5">
        <v>119.79</v>
      </c>
      <c r="C1762" s="5">
        <v>150.03</v>
      </c>
      <c r="D1762" s="5">
        <v>160.06</v>
      </c>
      <c r="E1762" s="5">
        <v>191.14</v>
      </c>
      <c r="F1762" s="5">
        <v>239.86</v>
      </c>
      <c r="G1762" s="5">
        <v>276.56</v>
      </c>
      <c r="H1762" s="5">
        <v>322.19</v>
      </c>
    </row>
    <row r="1763" spans="1:8" ht="15" customHeight="1" x14ac:dyDescent="0.35">
      <c r="A1763" s="1" t="s">
        <v>105</v>
      </c>
      <c r="B1763" s="5">
        <v>122.01</v>
      </c>
      <c r="C1763" s="5">
        <v>152.81</v>
      </c>
      <c r="D1763" s="5">
        <v>163.02000000000001</v>
      </c>
      <c r="E1763" s="5">
        <v>194.68</v>
      </c>
      <c r="F1763" s="5">
        <v>244.3</v>
      </c>
      <c r="G1763" s="5">
        <v>281.68</v>
      </c>
      <c r="H1763" s="5">
        <v>328.16</v>
      </c>
    </row>
    <row r="1764" spans="1:8" ht="15" customHeight="1" x14ac:dyDescent="0.35">
      <c r="A1764" s="1" t="s">
        <v>106</v>
      </c>
      <c r="B1764" s="5">
        <v>124.23</v>
      </c>
      <c r="C1764" s="5">
        <v>155.59</v>
      </c>
      <c r="D1764" s="5">
        <v>165.98</v>
      </c>
      <c r="E1764" s="5">
        <v>198.22</v>
      </c>
      <c r="F1764" s="5">
        <v>248.74</v>
      </c>
      <c r="G1764" s="5">
        <v>286.8</v>
      </c>
      <c r="H1764" s="5">
        <v>334.12</v>
      </c>
    </row>
    <row r="1765" spans="1:8" ht="15" customHeight="1" x14ac:dyDescent="0.35">
      <c r="A1765" s="1" t="s">
        <v>107</v>
      </c>
      <c r="B1765" s="5">
        <v>126.44</v>
      </c>
      <c r="C1765" s="5">
        <v>158.37</v>
      </c>
      <c r="D1765" s="5">
        <v>168.95</v>
      </c>
      <c r="E1765" s="5">
        <v>201.76</v>
      </c>
      <c r="F1765" s="5">
        <v>253.18</v>
      </c>
      <c r="G1765" s="5">
        <v>291.92</v>
      </c>
      <c r="H1765" s="5">
        <v>340.09</v>
      </c>
    </row>
    <row r="1766" spans="1:8" ht="15" customHeight="1" x14ac:dyDescent="0.35">
      <c r="A1766" s="1" t="s">
        <v>108</v>
      </c>
      <c r="B1766" s="5">
        <v>128.66</v>
      </c>
      <c r="C1766" s="5">
        <v>161.13999999999999</v>
      </c>
      <c r="D1766" s="5">
        <v>171.91</v>
      </c>
      <c r="E1766" s="5">
        <v>205.3</v>
      </c>
      <c r="F1766" s="5">
        <v>257.63</v>
      </c>
      <c r="G1766" s="5">
        <v>297.05</v>
      </c>
      <c r="H1766" s="5">
        <v>346.06</v>
      </c>
    </row>
    <row r="1767" spans="1:8" ht="15" customHeight="1" x14ac:dyDescent="0.35">
      <c r="A1767" s="1" t="s">
        <v>109</v>
      </c>
      <c r="B1767" s="5">
        <v>130.88</v>
      </c>
      <c r="C1767" s="5">
        <v>163.92</v>
      </c>
      <c r="D1767" s="5">
        <v>174.88</v>
      </c>
      <c r="E1767" s="5">
        <v>208.84</v>
      </c>
      <c r="F1767" s="5">
        <v>262.07</v>
      </c>
      <c r="G1767" s="5">
        <v>302.17</v>
      </c>
      <c r="H1767" s="5">
        <v>352.02</v>
      </c>
    </row>
    <row r="1768" spans="1:8" ht="15" customHeight="1" x14ac:dyDescent="0.35">
      <c r="A1768" s="1" t="s">
        <v>110</v>
      </c>
      <c r="B1768" s="5">
        <v>133.1</v>
      </c>
      <c r="C1768" s="5">
        <v>166.7</v>
      </c>
      <c r="D1768" s="5">
        <v>177.84</v>
      </c>
      <c r="E1768" s="5">
        <v>212.38</v>
      </c>
      <c r="F1768" s="5">
        <v>266.51</v>
      </c>
      <c r="G1768" s="5">
        <v>307.29000000000002</v>
      </c>
      <c r="H1768" s="5">
        <v>357.99</v>
      </c>
    </row>
    <row r="1769" spans="1:8" ht="15" customHeight="1" x14ac:dyDescent="0.35">
      <c r="A1769" s="1" t="s">
        <v>111</v>
      </c>
      <c r="B1769" s="5">
        <v>135.32</v>
      </c>
      <c r="C1769" s="5">
        <v>169.48</v>
      </c>
      <c r="D1769" s="5">
        <v>180.8</v>
      </c>
      <c r="E1769" s="5">
        <v>215.92</v>
      </c>
      <c r="F1769" s="5">
        <v>270.95</v>
      </c>
      <c r="G1769" s="5">
        <v>312.41000000000003</v>
      </c>
      <c r="H1769" s="5">
        <v>363.96</v>
      </c>
    </row>
    <row r="1770" spans="1:8" ht="15" customHeight="1" x14ac:dyDescent="0.35">
      <c r="A1770" s="1" t="s">
        <v>112</v>
      </c>
      <c r="B1770" s="5">
        <v>137.54</v>
      </c>
      <c r="C1770" s="5">
        <v>172.26</v>
      </c>
      <c r="D1770" s="5">
        <v>183.77</v>
      </c>
      <c r="E1770" s="5">
        <v>219.46</v>
      </c>
      <c r="F1770" s="5">
        <v>275.39</v>
      </c>
      <c r="G1770" s="5">
        <v>317.52999999999997</v>
      </c>
      <c r="H1770" s="5">
        <v>369.92</v>
      </c>
    </row>
    <row r="1771" spans="1:8" ht="15" customHeight="1" x14ac:dyDescent="0.35">
      <c r="A1771" s="1" t="s">
        <v>113</v>
      </c>
      <c r="B1771" s="5">
        <v>139.75</v>
      </c>
      <c r="C1771" s="5">
        <v>175.04</v>
      </c>
      <c r="D1771" s="5">
        <v>186.73</v>
      </c>
      <c r="E1771" s="5">
        <v>223</v>
      </c>
      <c r="F1771" s="5">
        <v>279.83999999999997</v>
      </c>
      <c r="G1771" s="5">
        <v>322.64999999999998</v>
      </c>
      <c r="H1771" s="5">
        <v>375.89</v>
      </c>
    </row>
    <row r="1772" spans="1:8" ht="15" customHeight="1" x14ac:dyDescent="0.35">
      <c r="A1772" s="1" t="s">
        <v>114</v>
      </c>
      <c r="B1772" s="5">
        <v>141.97</v>
      </c>
      <c r="C1772" s="5">
        <v>177.82</v>
      </c>
      <c r="D1772" s="5">
        <v>189.7</v>
      </c>
      <c r="E1772" s="5">
        <v>226.54</v>
      </c>
      <c r="F1772" s="5">
        <v>284.27999999999997</v>
      </c>
      <c r="G1772" s="5">
        <v>327.77</v>
      </c>
      <c r="H1772" s="5">
        <v>381.85</v>
      </c>
    </row>
    <row r="1773" spans="1:8" ht="15" customHeight="1" x14ac:dyDescent="0.35">
      <c r="A1773" s="1" t="s">
        <v>115</v>
      </c>
      <c r="B1773" s="5">
        <v>144.19</v>
      </c>
      <c r="C1773" s="5">
        <v>180.59</v>
      </c>
      <c r="D1773" s="5">
        <v>192.66</v>
      </c>
      <c r="E1773" s="5">
        <v>230.08</v>
      </c>
      <c r="F1773" s="5">
        <v>288.72000000000003</v>
      </c>
      <c r="G1773" s="5">
        <v>332.9</v>
      </c>
      <c r="H1773" s="5">
        <v>387.82</v>
      </c>
    </row>
    <row r="1774" spans="1:8" ht="15" customHeight="1" x14ac:dyDescent="0.35">
      <c r="A1774" s="1" t="s">
        <v>116</v>
      </c>
      <c r="B1774" s="5">
        <v>146.41</v>
      </c>
      <c r="C1774" s="5">
        <v>183.37</v>
      </c>
      <c r="D1774" s="5">
        <v>195.62</v>
      </c>
      <c r="E1774" s="5">
        <v>233.62</v>
      </c>
      <c r="F1774" s="5">
        <v>293.16000000000003</v>
      </c>
      <c r="G1774" s="5">
        <v>338.02</v>
      </c>
      <c r="H1774" s="5">
        <v>393.79</v>
      </c>
    </row>
    <row r="1775" spans="1:8" ht="15" customHeight="1" x14ac:dyDescent="0.35">
      <c r="A1775" s="1" t="s">
        <v>117</v>
      </c>
      <c r="B1775" s="5">
        <v>148.63</v>
      </c>
      <c r="C1775" s="5">
        <v>186.15</v>
      </c>
      <c r="D1775" s="5">
        <v>198.59</v>
      </c>
      <c r="E1775" s="5">
        <v>237.16</v>
      </c>
      <c r="F1775" s="5">
        <v>297.60000000000002</v>
      </c>
      <c r="G1775" s="5">
        <v>343.14</v>
      </c>
      <c r="H1775" s="5">
        <v>399.75</v>
      </c>
    </row>
    <row r="1776" spans="1:8" ht="15" customHeight="1" x14ac:dyDescent="0.35">
      <c r="A1776" s="1" t="s">
        <v>118</v>
      </c>
      <c r="B1776" s="5">
        <v>150.85</v>
      </c>
      <c r="C1776" s="5">
        <v>188.93</v>
      </c>
      <c r="D1776" s="5">
        <v>201.55</v>
      </c>
      <c r="E1776" s="5">
        <v>240.7</v>
      </c>
      <c r="F1776" s="5">
        <v>302.05</v>
      </c>
      <c r="G1776" s="5">
        <v>348.26</v>
      </c>
      <c r="H1776" s="5">
        <v>405.72</v>
      </c>
    </row>
    <row r="1777" spans="1:8" ht="15" customHeight="1" x14ac:dyDescent="0.35">
      <c r="A1777" s="1" t="s">
        <v>119</v>
      </c>
      <c r="B1777" s="5">
        <v>153.06</v>
      </c>
      <c r="C1777" s="5">
        <v>191.71</v>
      </c>
      <c r="D1777" s="5">
        <v>204.52</v>
      </c>
      <c r="E1777" s="5">
        <v>244.24</v>
      </c>
      <c r="F1777" s="5">
        <v>306.49</v>
      </c>
      <c r="G1777" s="5">
        <v>353.38</v>
      </c>
      <c r="H1777" s="5">
        <v>411.69</v>
      </c>
    </row>
    <row r="1778" spans="1:8" ht="15" customHeight="1" x14ac:dyDescent="0.35">
      <c r="A1778" s="1" t="s">
        <v>120</v>
      </c>
      <c r="B1778" s="5">
        <v>155.28</v>
      </c>
      <c r="C1778" s="5">
        <v>194.49</v>
      </c>
      <c r="D1778" s="5">
        <v>207.48</v>
      </c>
      <c r="E1778" s="5">
        <v>247.77</v>
      </c>
      <c r="F1778" s="5">
        <v>310.93</v>
      </c>
      <c r="G1778" s="5">
        <v>358.5</v>
      </c>
      <c r="H1778" s="5">
        <v>417.65</v>
      </c>
    </row>
    <row r="1779" spans="1:8" ht="15" customHeight="1" x14ac:dyDescent="0.35">
      <c r="A1779" s="1" t="s">
        <v>121</v>
      </c>
      <c r="B1779" s="5">
        <v>157.5</v>
      </c>
      <c r="C1779" s="5">
        <v>197.26</v>
      </c>
      <c r="D1779" s="5">
        <v>210.44</v>
      </c>
      <c r="E1779" s="5">
        <v>251.31</v>
      </c>
      <c r="F1779" s="5">
        <v>315.37</v>
      </c>
      <c r="G1779" s="5">
        <v>363.63</v>
      </c>
      <c r="H1779" s="5">
        <v>423.62</v>
      </c>
    </row>
    <row r="1780" spans="1:8" ht="15" customHeight="1" x14ac:dyDescent="0.35">
      <c r="A1780" s="1" t="s">
        <v>122</v>
      </c>
      <c r="B1780" s="5">
        <v>159.72</v>
      </c>
      <c r="C1780" s="5">
        <v>200.04</v>
      </c>
      <c r="D1780" s="5">
        <v>213.41</v>
      </c>
      <c r="E1780" s="5">
        <v>254.85</v>
      </c>
      <c r="F1780" s="5">
        <v>319.81</v>
      </c>
      <c r="G1780" s="5">
        <v>368.75</v>
      </c>
      <c r="H1780" s="5">
        <v>429.59</v>
      </c>
    </row>
    <row r="1781" spans="1:8" ht="15" customHeight="1" x14ac:dyDescent="0.35">
      <c r="A1781" s="1" t="s">
        <v>123</v>
      </c>
      <c r="B1781" s="5">
        <v>161.94</v>
      </c>
      <c r="C1781" s="5">
        <v>202.82</v>
      </c>
      <c r="D1781" s="5">
        <v>216.37</v>
      </c>
      <c r="E1781" s="5">
        <v>258.39</v>
      </c>
      <c r="F1781" s="5">
        <v>324.25</v>
      </c>
      <c r="G1781" s="5">
        <v>373.87</v>
      </c>
      <c r="H1781" s="5">
        <v>435.55</v>
      </c>
    </row>
    <row r="1782" spans="1:8" ht="15" customHeight="1" x14ac:dyDescent="0.35">
      <c r="A1782" s="1" t="s">
        <v>124</v>
      </c>
      <c r="B1782" s="5">
        <v>164.16</v>
      </c>
      <c r="C1782" s="5">
        <v>205.6</v>
      </c>
      <c r="D1782" s="5">
        <v>219.34</v>
      </c>
      <c r="E1782" s="5">
        <v>261.93</v>
      </c>
      <c r="F1782" s="5">
        <v>328.7</v>
      </c>
      <c r="G1782" s="5">
        <v>378.99</v>
      </c>
      <c r="H1782" s="5">
        <v>441.52</v>
      </c>
    </row>
    <row r="1783" spans="1:8" ht="15" customHeight="1" x14ac:dyDescent="0.35">
      <c r="A1783" s="1" t="s">
        <v>125</v>
      </c>
      <c r="B1783" s="5">
        <v>166.37</v>
      </c>
      <c r="C1783" s="5">
        <v>208.38</v>
      </c>
      <c r="D1783" s="5">
        <v>222.3</v>
      </c>
      <c r="E1783" s="5">
        <v>265.47000000000003</v>
      </c>
      <c r="F1783" s="5">
        <v>333.14</v>
      </c>
      <c r="G1783" s="5">
        <v>384.11</v>
      </c>
      <c r="H1783" s="5">
        <v>447.49</v>
      </c>
    </row>
    <row r="1784" spans="1:8" ht="15" customHeight="1" x14ac:dyDescent="0.35">
      <c r="A1784" s="1" t="s">
        <v>126</v>
      </c>
      <c r="B1784" s="5">
        <v>168.59</v>
      </c>
      <c r="C1784" s="5">
        <v>211.16</v>
      </c>
      <c r="D1784" s="5">
        <v>225.26</v>
      </c>
      <c r="E1784" s="5">
        <v>269.01</v>
      </c>
      <c r="F1784" s="5">
        <v>337.58</v>
      </c>
      <c r="G1784" s="5">
        <v>389.23</v>
      </c>
      <c r="H1784" s="5">
        <v>453.45</v>
      </c>
    </row>
    <row r="1785" spans="1:8" ht="15" customHeight="1" x14ac:dyDescent="0.35">
      <c r="A1785" s="1" t="s">
        <v>127</v>
      </c>
      <c r="B1785" s="5">
        <v>170.81</v>
      </c>
      <c r="C1785" s="5">
        <v>213.93</v>
      </c>
      <c r="D1785" s="5">
        <v>228.23</v>
      </c>
      <c r="E1785" s="5">
        <v>272.55</v>
      </c>
      <c r="F1785" s="5">
        <v>342.02</v>
      </c>
      <c r="G1785" s="5">
        <v>394.35</v>
      </c>
      <c r="H1785" s="5">
        <v>459.42</v>
      </c>
    </row>
    <row r="1786" spans="1:8" ht="15" customHeight="1" x14ac:dyDescent="0.35">
      <c r="A1786" s="1" t="s">
        <v>128</v>
      </c>
      <c r="B1786" s="5">
        <v>173.03</v>
      </c>
      <c r="C1786" s="5">
        <v>216.71</v>
      </c>
      <c r="D1786" s="5">
        <v>231.19</v>
      </c>
      <c r="E1786" s="5">
        <v>276.08999999999997</v>
      </c>
      <c r="F1786" s="5">
        <v>346.46</v>
      </c>
      <c r="G1786" s="5">
        <v>399.48</v>
      </c>
      <c r="H1786" s="5">
        <v>465.39</v>
      </c>
    </row>
    <row r="1787" spans="1:8" ht="15" customHeight="1" x14ac:dyDescent="0.35">
      <c r="A1787" s="1" t="s">
        <v>129</v>
      </c>
      <c r="B1787" s="5">
        <v>175.25</v>
      </c>
      <c r="C1787" s="5">
        <v>219.49</v>
      </c>
      <c r="D1787" s="5">
        <v>234.16</v>
      </c>
      <c r="E1787" s="5">
        <v>279.63</v>
      </c>
      <c r="F1787" s="5">
        <v>350.91</v>
      </c>
      <c r="G1787" s="5">
        <v>404.6</v>
      </c>
      <c r="H1787" s="5">
        <v>471.35</v>
      </c>
    </row>
    <row r="1788" spans="1:8" ht="15" customHeight="1" x14ac:dyDescent="0.35">
      <c r="A1788" s="1" t="s">
        <v>130</v>
      </c>
      <c r="B1788" s="5">
        <v>177.47</v>
      </c>
      <c r="C1788" s="5">
        <v>222.27</v>
      </c>
      <c r="D1788" s="5">
        <v>237.12</v>
      </c>
      <c r="E1788" s="5">
        <v>283.17</v>
      </c>
      <c r="F1788" s="5">
        <v>355.35</v>
      </c>
      <c r="G1788" s="5">
        <v>409.72</v>
      </c>
      <c r="H1788" s="5">
        <v>477.32</v>
      </c>
    </row>
    <row r="1789" spans="1:8" ht="15" customHeight="1" x14ac:dyDescent="0.35">
      <c r="A1789" s="1" t="s">
        <v>131</v>
      </c>
      <c r="B1789" s="5">
        <v>179.68</v>
      </c>
      <c r="C1789" s="5">
        <v>225.05</v>
      </c>
      <c r="D1789" s="5">
        <v>240.08</v>
      </c>
      <c r="E1789" s="5">
        <v>286.70999999999998</v>
      </c>
      <c r="F1789" s="5">
        <v>359.79</v>
      </c>
      <c r="G1789" s="5">
        <v>414.84</v>
      </c>
      <c r="H1789" s="5">
        <v>483.28</v>
      </c>
    </row>
    <row r="1790" spans="1:8" ht="15" customHeight="1" x14ac:dyDescent="0.35">
      <c r="A1790" s="1" t="s">
        <v>132</v>
      </c>
      <c r="B1790" s="5">
        <v>181.9</v>
      </c>
      <c r="C1790" s="5">
        <v>227.83</v>
      </c>
      <c r="D1790" s="5">
        <v>243.05</v>
      </c>
      <c r="E1790" s="5">
        <v>290.25</v>
      </c>
      <c r="F1790" s="5">
        <v>364.23</v>
      </c>
      <c r="G1790" s="5">
        <v>419.96</v>
      </c>
      <c r="H1790" s="5">
        <v>489.25</v>
      </c>
    </row>
    <row r="1791" spans="1:8" ht="15" customHeight="1" x14ac:dyDescent="0.35">
      <c r="A1791" s="1" t="s">
        <v>133</v>
      </c>
      <c r="B1791" s="5">
        <v>184.12</v>
      </c>
      <c r="C1791" s="5">
        <v>230.6</v>
      </c>
      <c r="D1791" s="5">
        <v>246.01</v>
      </c>
      <c r="E1791" s="5">
        <v>293.79000000000002</v>
      </c>
      <c r="F1791" s="5">
        <v>368.67</v>
      </c>
      <c r="G1791" s="5">
        <v>425.08</v>
      </c>
      <c r="H1791" s="5">
        <v>495.22</v>
      </c>
    </row>
    <row r="1792" spans="1:8" ht="15" customHeight="1" x14ac:dyDescent="0.35">
      <c r="A1792" s="1" t="s">
        <v>134</v>
      </c>
      <c r="B1792" s="5">
        <v>186.34</v>
      </c>
      <c r="C1792" s="5">
        <v>233.38</v>
      </c>
      <c r="D1792" s="5">
        <v>248.98</v>
      </c>
      <c r="E1792" s="5">
        <v>297.33</v>
      </c>
      <c r="F1792" s="5">
        <v>373.11</v>
      </c>
      <c r="G1792" s="5">
        <v>430.2</v>
      </c>
      <c r="H1792" s="5">
        <v>501.18</v>
      </c>
    </row>
    <row r="1793" spans="1:8" ht="15" customHeight="1" x14ac:dyDescent="0.35">
      <c r="A1793" s="1" t="s">
        <v>135</v>
      </c>
      <c r="B1793" s="5">
        <v>188.56</v>
      </c>
      <c r="C1793" s="5">
        <v>236.16</v>
      </c>
      <c r="D1793" s="5">
        <v>251.94</v>
      </c>
      <c r="E1793" s="5">
        <v>300.87</v>
      </c>
      <c r="F1793" s="5">
        <v>377.56</v>
      </c>
      <c r="G1793" s="5">
        <v>435.33</v>
      </c>
      <c r="H1793" s="5">
        <v>507.15</v>
      </c>
    </row>
    <row r="1794" spans="1:8" ht="15" customHeight="1" x14ac:dyDescent="0.35">
      <c r="A1794" s="1" t="s">
        <v>136</v>
      </c>
      <c r="B1794" s="5">
        <v>190.78</v>
      </c>
      <c r="C1794" s="5">
        <v>238.94</v>
      </c>
      <c r="D1794" s="5">
        <v>254.9</v>
      </c>
      <c r="E1794" s="5">
        <v>304.41000000000003</v>
      </c>
      <c r="F1794" s="5">
        <v>382</v>
      </c>
      <c r="G1794" s="5">
        <v>440.45</v>
      </c>
      <c r="H1794" s="5">
        <v>513.12</v>
      </c>
    </row>
    <row r="1795" spans="1:8" ht="15" customHeight="1" x14ac:dyDescent="0.35">
      <c r="A1795" s="1" t="s">
        <v>137</v>
      </c>
      <c r="B1795" s="5">
        <v>192.99</v>
      </c>
      <c r="C1795" s="5">
        <v>241.72</v>
      </c>
      <c r="D1795" s="5">
        <v>257.87</v>
      </c>
      <c r="E1795" s="5">
        <v>307.95</v>
      </c>
      <c r="F1795" s="5">
        <v>386.44</v>
      </c>
      <c r="G1795" s="5">
        <v>445.57</v>
      </c>
      <c r="H1795" s="5">
        <v>519.08000000000004</v>
      </c>
    </row>
    <row r="1796" spans="1:8" ht="15" customHeight="1" x14ac:dyDescent="0.35">
      <c r="A1796" s="1" t="s">
        <v>138</v>
      </c>
      <c r="B1796" s="5">
        <v>195.21</v>
      </c>
      <c r="C1796" s="5">
        <v>244.5</v>
      </c>
      <c r="D1796" s="5">
        <v>260.83</v>
      </c>
      <c r="E1796" s="5">
        <v>311.49</v>
      </c>
      <c r="F1796" s="5">
        <v>390.88</v>
      </c>
      <c r="G1796" s="5">
        <v>450.69</v>
      </c>
      <c r="H1796" s="5">
        <v>525.04999999999995</v>
      </c>
    </row>
    <row r="1797" spans="1:8" ht="15" customHeight="1" x14ac:dyDescent="0.35">
      <c r="A1797" s="1" t="s">
        <v>139</v>
      </c>
      <c r="B1797" s="5">
        <v>197.43</v>
      </c>
      <c r="C1797" s="5">
        <v>247.27</v>
      </c>
      <c r="D1797" s="5">
        <v>263.8</v>
      </c>
      <c r="E1797" s="5">
        <v>315.02999999999997</v>
      </c>
      <c r="F1797" s="5">
        <v>395.32</v>
      </c>
      <c r="G1797" s="5">
        <v>455.81</v>
      </c>
      <c r="H1797" s="5">
        <v>531.02</v>
      </c>
    </row>
    <row r="1798" spans="1:8" ht="15" customHeight="1" x14ac:dyDescent="0.35">
      <c r="A1798" s="1" t="s">
        <v>140</v>
      </c>
      <c r="B1798" s="5">
        <v>199.65</v>
      </c>
      <c r="C1798" s="5">
        <v>250.05</v>
      </c>
      <c r="D1798" s="5">
        <v>266.76</v>
      </c>
      <c r="E1798" s="5">
        <v>318.57</v>
      </c>
      <c r="F1798" s="5">
        <v>399.77</v>
      </c>
      <c r="G1798" s="5">
        <v>460.93</v>
      </c>
      <c r="H1798" s="5">
        <v>536.98</v>
      </c>
    </row>
    <row r="1799" spans="1:8" ht="15" customHeight="1" x14ac:dyDescent="0.35">
      <c r="A1799" s="1" t="s">
        <v>141</v>
      </c>
      <c r="B1799" s="5">
        <v>201.87</v>
      </c>
      <c r="C1799" s="5">
        <v>252.83</v>
      </c>
      <c r="D1799" s="5">
        <v>269.72000000000003</v>
      </c>
      <c r="E1799" s="5">
        <v>322.11</v>
      </c>
      <c r="F1799" s="5">
        <v>404.21</v>
      </c>
      <c r="G1799" s="5">
        <v>466.05</v>
      </c>
      <c r="H1799" s="5">
        <v>542.95000000000005</v>
      </c>
    </row>
    <row r="1800" spans="1:8" ht="15" customHeight="1" x14ac:dyDescent="0.35">
      <c r="A1800" s="1" t="s">
        <v>142</v>
      </c>
      <c r="B1800" s="5">
        <v>204.09</v>
      </c>
      <c r="C1800" s="5">
        <v>255.61</v>
      </c>
      <c r="D1800" s="5">
        <v>272.69</v>
      </c>
      <c r="E1800" s="5">
        <v>325.64999999999998</v>
      </c>
      <c r="F1800" s="5">
        <v>408.65</v>
      </c>
      <c r="G1800" s="5">
        <v>471.18</v>
      </c>
      <c r="H1800" s="5">
        <v>548.91999999999996</v>
      </c>
    </row>
    <row r="1801" spans="1:8" ht="15" customHeight="1" x14ac:dyDescent="0.35">
      <c r="A1801" s="1" t="s">
        <v>143</v>
      </c>
      <c r="B1801" s="5">
        <v>206.3</v>
      </c>
      <c r="C1801" s="5">
        <v>258.39</v>
      </c>
      <c r="D1801" s="5">
        <v>275.64999999999998</v>
      </c>
      <c r="E1801" s="5">
        <v>329.19</v>
      </c>
      <c r="F1801" s="5">
        <v>413.09</v>
      </c>
      <c r="G1801" s="5">
        <v>476.3</v>
      </c>
      <c r="H1801" s="5">
        <v>554.88</v>
      </c>
    </row>
    <row r="1802" spans="1:8" ht="15" customHeight="1" x14ac:dyDescent="0.35">
      <c r="A1802" s="1" t="s">
        <v>144</v>
      </c>
      <c r="B1802" s="5">
        <v>208.52</v>
      </c>
      <c r="C1802" s="5">
        <v>261.17</v>
      </c>
      <c r="D1802" s="5">
        <v>278.62</v>
      </c>
      <c r="E1802" s="5">
        <v>332.73</v>
      </c>
      <c r="F1802" s="5">
        <v>417.53</v>
      </c>
      <c r="G1802" s="5">
        <v>481.42</v>
      </c>
      <c r="H1802" s="5">
        <v>560.85</v>
      </c>
    </row>
    <row r="1803" spans="1:8" ht="15" customHeight="1" x14ac:dyDescent="0.35">
      <c r="A1803" s="1" t="s">
        <v>145</v>
      </c>
      <c r="B1803" s="5">
        <v>210.74</v>
      </c>
      <c r="C1803" s="5">
        <v>263.94</v>
      </c>
      <c r="D1803" s="5">
        <v>281.58</v>
      </c>
      <c r="E1803" s="5">
        <v>336.27</v>
      </c>
      <c r="F1803" s="5">
        <v>421.97</v>
      </c>
      <c r="G1803" s="5">
        <v>486.54</v>
      </c>
      <c r="H1803" s="5">
        <v>566.82000000000005</v>
      </c>
    </row>
    <row r="1804" spans="1:8" ht="15" customHeight="1" x14ac:dyDescent="0.35">
      <c r="A1804" s="1" t="s">
        <v>146</v>
      </c>
      <c r="B1804" s="5">
        <v>212.96</v>
      </c>
      <c r="C1804" s="5">
        <v>266.72000000000003</v>
      </c>
      <c r="D1804" s="5">
        <v>284.54000000000002</v>
      </c>
      <c r="E1804" s="5">
        <v>339.81</v>
      </c>
      <c r="F1804" s="5">
        <v>426.42</v>
      </c>
      <c r="G1804" s="5">
        <v>491.66</v>
      </c>
      <c r="H1804" s="5">
        <v>572.78</v>
      </c>
    </row>
    <row r="1805" spans="1:8" ht="15" customHeight="1" x14ac:dyDescent="0.35">
      <c r="A1805" s="1" t="s">
        <v>147</v>
      </c>
      <c r="B1805" s="5">
        <v>215.18</v>
      </c>
      <c r="C1805" s="5">
        <v>269.5</v>
      </c>
      <c r="D1805" s="5">
        <v>287.51</v>
      </c>
      <c r="E1805" s="5">
        <v>343.35</v>
      </c>
      <c r="F1805" s="5">
        <v>430.86</v>
      </c>
      <c r="G1805" s="5">
        <v>496.78</v>
      </c>
      <c r="H1805" s="5">
        <v>578.75</v>
      </c>
    </row>
    <row r="1806" spans="1:8" ht="15" customHeight="1" x14ac:dyDescent="0.35">
      <c r="A1806" s="1" t="s">
        <v>148</v>
      </c>
      <c r="B1806" s="5">
        <v>217.4</v>
      </c>
      <c r="C1806" s="5">
        <v>272.27999999999997</v>
      </c>
      <c r="D1806" s="5">
        <v>290.47000000000003</v>
      </c>
      <c r="E1806" s="5">
        <v>346.88</v>
      </c>
      <c r="F1806" s="5">
        <v>435.3</v>
      </c>
      <c r="G1806" s="5">
        <v>501.91</v>
      </c>
      <c r="H1806" s="5">
        <v>584.72</v>
      </c>
    </row>
    <row r="1807" spans="1:8" ht="15" customHeight="1" x14ac:dyDescent="0.35">
      <c r="A1807" s="1" t="s">
        <v>149</v>
      </c>
      <c r="B1807" s="5">
        <v>219.61</v>
      </c>
      <c r="C1807" s="5">
        <v>275.06</v>
      </c>
      <c r="D1807" s="5">
        <v>293.44</v>
      </c>
      <c r="E1807" s="5">
        <v>350.42</v>
      </c>
      <c r="F1807" s="5">
        <v>439.74</v>
      </c>
      <c r="G1807" s="5">
        <v>507.03</v>
      </c>
      <c r="H1807" s="5">
        <v>590.67999999999995</v>
      </c>
    </row>
    <row r="1808" spans="1:8" ht="15" customHeight="1" x14ac:dyDescent="0.35">
      <c r="A1808" s="1" t="s">
        <v>150</v>
      </c>
      <c r="B1808" s="5">
        <v>221.83</v>
      </c>
      <c r="C1808" s="5">
        <v>277.83999999999997</v>
      </c>
      <c r="D1808" s="5">
        <v>296.39999999999998</v>
      </c>
      <c r="E1808" s="5">
        <v>353.96</v>
      </c>
      <c r="F1808" s="5">
        <v>444.18</v>
      </c>
      <c r="G1808" s="5">
        <v>512.15</v>
      </c>
      <c r="H1808" s="5">
        <v>596.65</v>
      </c>
    </row>
    <row r="1809" spans="1:11" ht="15" customHeight="1" x14ac:dyDescent="0.3">
      <c r="A1809" s="1" t="s">
        <v>35</v>
      </c>
    </row>
    <row r="1812" spans="1:11" ht="15" customHeight="1" x14ac:dyDescent="0.35">
      <c r="A1812" s="8" t="s">
        <v>153</v>
      </c>
      <c r="B1812" s="8"/>
      <c r="C1812" s="8"/>
      <c r="D1812" s="8"/>
    </row>
    <row r="1813" spans="1:11" ht="15" customHeight="1" x14ac:dyDescent="0.3">
      <c r="A1813" s="7" t="s">
        <v>0</v>
      </c>
      <c r="B1813" s="7"/>
      <c r="C1813" s="7"/>
      <c r="D1813" s="7"/>
      <c r="E1813" s="7"/>
    </row>
    <row r="1814" spans="1:11" s="6" customFormat="1" ht="15" customHeight="1" x14ac:dyDescent="0.35">
      <c r="A1814" s="10" t="s">
        <v>154</v>
      </c>
      <c r="B1814" s="10"/>
      <c r="C1814" s="10"/>
      <c r="D1814" s="10"/>
      <c r="E1814" s="10"/>
      <c r="F1814" s="10"/>
      <c r="G1814" s="10"/>
      <c r="H1814" s="11" t="s">
        <v>25</v>
      </c>
      <c r="I1814" s="11"/>
      <c r="J1814" s="11"/>
      <c r="K1814" s="11"/>
    </row>
    <row r="1815" spans="1:11" s="6" customFormat="1" ht="15" customHeight="1" x14ac:dyDescent="0.3"/>
    <row r="1816" spans="1:11" s="6" customFormat="1" ht="15" customHeight="1" x14ac:dyDescent="0.3"/>
    <row r="1818" spans="1:11" ht="15" customHeight="1" x14ac:dyDescent="0.3">
      <c r="A1818" s="1" t="s">
        <v>26</v>
      </c>
    </row>
    <row r="1819" spans="1:11" ht="15" customHeight="1" x14ac:dyDescent="0.3">
      <c r="A1819" s="1" t="s">
        <v>0</v>
      </c>
    </row>
    <row r="1820" spans="1:11" ht="15" customHeight="1" x14ac:dyDescent="0.3">
      <c r="A1820" s="1" t="s">
        <v>0</v>
      </c>
    </row>
    <row r="1821" spans="1:11" ht="15" customHeight="1" x14ac:dyDescent="0.3">
      <c r="A1821" s="1" t="s">
        <v>27</v>
      </c>
      <c r="B1821" s="1" t="s">
        <v>28</v>
      </c>
    </row>
    <row r="1822" spans="1:11" ht="15" customHeight="1" x14ac:dyDescent="0.35">
      <c r="A1822" s="1" t="s">
        <v>155</v>
      </c>
      <c r="B1822" s="3">
        <v>4.4999999999999998E-2</v>
      </c>
    </row>
    <row r="1824" spans="1:11" ht="15" customHeight="1" x14ac:dyDescent="0.3">
      <c r="A1824" s="1" t="s">
        <v>60</v>
      </c>
    </row>
    <row r="1825" spans="1:13" ht="15" customHeight="1" x14ac:dyDescent="0.3">
      <c r="A1825" s="1" t="s">
        <v>61</v>
      </c>
      <c r="B1825" s="1" t="s">
        <v>156</v>
      </c>
    </row>
    <row r="1826" spans="1:13" ht="15" customHeight="1" x14ac:dyDescent="0.3">
      <c r="A1826" s="1" t="s">
        <v>0</v>
      </c>
    </row>
    <row r="1827" spans="1:13" ht="15" customHeight="1" x14ac:dyDescent="0.35">
      <c r="A1827" s="2" t="s">
        <v>32</v>
      </c>
      <c r="B1827" s="8" t="s">
        <v>33</v>
      </c>
      <c r="C1827" s="8"/>
    </row>
    <row r="1828" spans="1:13" ht="15" customHeight="1" x14ac:dyDescent="0.35">
      <c r="A1828" s="2" t="s">
        <v>34</v>
      </c>
      <c r="B1828" s="2">
        <v>2</v>
      </c>
      <c r="C1828" s="2">
        <v>3</v>
      </c>
      <c r="D1828" s="2">
        <v>4</v>
      </c>
      <c r="E1828" s="2">
        <v>5</v>
      </c>
      <c r="F1828" s="2">
        <v>6</v>
      </c>
      <c r="G1828" s="2">
        <v>7</v>
      </c>
      <c r="H1828" s="2">
        <v>8</v>
      </c>
      <c r="I1828" s="2">
        <v>9</v>
      </c>
      <c r="J1828" s="2">
        <v>10</v>
      </c>
      <c r="K1828" s="2">
        <v>17</v>
      </c>
      <c r="L1828" s="2">
        <v>26</v>
      </c>
      <c r="M1828" s="2">
        <v>99</v>
      </c>
    </row>
    <row r="1829" spans="1:13" ht="15" customHeight="1" x14ac:dyDescent="0.3">
      <c r="A1829" s="1" t="s">
        <v>0</v>
      </c>
    </row>
    <row r="1830" spans="1:13" ht="15" customHeight="1" x14ac:dyDescent="0.35">
      <c r="A1830" s="1">
        <v>1</v>
      </c>
      <c r="B1830" s="4">
        <v>6.87</v>
      </c>
      <c r="C1830" s="4">
        <v>6.87</v>
      </c>
      <c r="D1830" s="4">
        <v>6.87</v>
      </c>
      <c r="E1830" s="4">
        <v>6.87</v>
      </c>
      <c r="F1830" s="4">
        <v>6.87</v>
      </c>
      <c r="G1830" s="4">
        <v>6.87</v>
      </c>
      <c r="H1830" s="4">
        <v>6.87</v>
      </c>
      <c r="I1830" s="4">
        <v>20.22</v>
      </c>
      <c r="J1830" s="4">
        <v>20.22</v>
      </c>
      <c r="K1830" s="4">
        <v>20.22</v>
      </c>
      <c r="L1830" s="4">
        <v>20.22</v>
      </c>
      <c r="M1830" s="4">
        <v>20.22</v>
      </c>
    </row>
    <row r="1831" spans="1:13" ht="15" customHeight="1" x14ac:dyDescent="0.35">
      <c r="A1831" s="1">
        <v>2</v>
      </c>
      <c r="B1831" s="4">
        <v>6.87</v>
      </c>
      <c r="C1831" s="4">
        <v>6.87</v>
      </c>
      <c r="D1831" s="4">
        <v>6.87</v>
      </c>
      <c r="E1831" s="4">
        <v>6.87</v>
      </c>
      <c r="F1831" s="4">
        <v>6.87</v>
      </c>
      <c r="G1831" s="5">
        <v>6.9</v>
      </c>
      <c r="H1831" s="5">
        <v>7.02</v>
      </c>
      <c r="I1831" s="4">
        <v>20.22</v>
      </c>
      <c r="J1831" s="4">
        <v>20.22</v>
      </c>
      <c r="K1831" s="4">
        <v>20.22</v>
      </c>
      <c r="L1831" s="4">
        <v>20.22</v>
      </c>
      <c r="M1831" s="4">
        <v>20.22</v>
      </c>
    </row>
    <row r="1832" spans="1:13" ht="15" customHeight="1" x14ac:dyDescent="0.35">
      <c r="A1832" s="1">
        <v>3</v>
      </c>
      <c r="B1832" s="4">
        <v>6.87</v>
      </c>
      <c r="C1832" s="4">
        <v>6.87</v>
      </c>
      <c r="D1832" s="4">
        <v>6.87</v>
      </c>
      <c r="E1832" s="4">
        <v>6.87</v>
      </c>
      <c r="F1832" s="5">
        <v>7.09</v>
      </c>
      <c r="G1832" s="5">
        <v>7.36</v>
      </c>
      <c r="H1832" s="5">
        <v>7.72</v>
      </c>
      <c r="I1832" s="4">
        <v>20.22</v>
      </c>
      <c r="J1832" s="4">
        <v>20.22</v>
      </c>
      <c r="K1832" s="4">
        <v>20.22</v>
      </c>
      <c r="L1832" s="4">
        <v>20.22</v>
      </c>
      <c r="M1832" s="4">
        <v>20.22</v>
      </c>
    </row>
    <row r="1833" spans="1:13" ht="15" customHeight="1" x14ac:dyDescent="0.35">
      <c r="A1833" s="1">
        <v>4</v>
      </c>
      <c r="B1833" s="4">
        <v>6.87</v>
      </c>
      <c r="C1833" s="4">
        <v>6.87</v>
      </c>
      <c r="D1833" s="4">
        <v>6.87</v>
      </c>
      <c r="E1833" s="5">
        <v>7.19</v>
      </c>
      <c r="F1833" s="5">
        <v>7.39</v>
      </c>
      <c r="G1833" s="5">
        <v>7.9</v>
      </c>
      <c r="H1833" s="5">
        <v>8.27</v>
      </c>
      <c r="I1833" s="4">
        <v>20.22</v>
      </c>
      <c r="J1833" s="4">
        <v>20.22</v>
      </c>
      <c r="K1833" s="4">
        <v>20.22</v>
      </c>
      <c r="L1833" s="4">
        <v>20.22</v>
      </c>
      <c r="M1833" s="4">
        <v>20.22</v>
      </c>
    </row>
    <row r="1834" spans="1:13" ht="15" customHeight="1" x14ac:dyDescent="0.35">
      <c r="A1834" s="1">
        <v>5</v>
      </c>
      <c r="B1834" s="4">
        <v>6.87</v>
      </c>
      <c r="C1834" s="4">
        <v>6.87</v>
      </c>
      <c r="D1834" s="5">
        <v>6.92</v>
      </c>
      <c r="E1834" s="5">
        <v>7.51</v>
      </c>
      <c r="F1834" s="5">
        <v>7.81</v>
      </c>
      <c r="G1834" s="5">
        <v>8.27</v>
      </c>
      <c r="H1834" s="5">
        <v>8.76</v>
      </c>
      <c r="I1834" s="4">
        <v>20.22</v>
      </c>
      <c r="J1834" s="4">
        <v>20.22</v>
      </c>
      <c r="K1834" s="4">
        <v>20.22</v>
      </c>
      <c r="L1834" s="4">
        <v>20.22</v>
      </c>
      <c r="M1834" s="4">
        <v>20.22</v>
      </c>
    </row>
    <row r="1835" spans="1:13" ht="15" customHeight="1" x14ac:dyDescent="0.35">
      <c r="A1835" s="1">
        <v>6</v>
      </c>
      <c r="B1835" s="4">
        <v>6.87</v>
      </c>
      <c r="C1835" s="4">
        <v>6.87</v>
      </c>
      <c r="D1835" s="5">
        <v>6.99</v>
      </c>
      <c r="E1835" s="5">
        <v>7.54</v>
      </c>
      <c r="F1835" s="5">
        <v>7.82</v>
      </c>
      <c r="G1835" s="5">
        <v>8.27</v>
      </c>
      <c r="H1835" s="5">
        <v>8.77</v>
      </c>
      <c r="I1835" s="4">
        <v>20.22</v>
      </c>
      <c r="J1835" s="4">
        <v>20.22</v>
      </c>
      <c r="K1835" s="4">
        <v>20.22</v>
      </c>
      <c r="L1835" s="4">
        <v>20.22</v>
      </c>
      <c r="M1835" s="4">
        <v>20.22</v>
      </c>
    </row>
    <row r="1836" spans="1:13" ht="15" customHeight="1" x14ac:dyDescent="0.35">
      <c r="A1836" s="1">
        <v>7</v>
      </c>
      <c r="B1836" s="4">
        <v>6.87</v>
      </c>
      <c r="C1836" s="4">
        <v>6.87</v>
      </c>
      <c r="D1836" s="5">
        <v>7.17</v>
      </c>
      <c r="E1836" s="5">
        <v>7.78</v>
      </c>
      <c r="F1836" s="5">
        <v>7.96</v>
      </c>
      <c r="G1836" s="5">
        <v>8.5</v>
      </c>
      <c r="H1836" s="5">
        <v>9.1</v>
      </c>
      <c r="I1836" s="5">
        <v>20.78</v>
      </c>
      <c r="J1836" s="5">
        <v>20.78</v>
      </c>
      <c r="K1836" s="5">
        <v>20.78</v>
      </c>
      <c r="L1836" s="5">
        <v>20.78</v>
      </c>
      <c r="M1836" s="5">
        <v>20.78</v>
      </c>
    </row>
    <row r="1837" spans="1:13" ht="15" customHeight="1" x14ac:dyDescent="0.35">
      <c r="A1837" s="1">
        <v>8</v>
      </c>
      <c r="B1837" s="4">
        <v>6.87</v>
      </c>
      <c r="C1837" s="4">
        <v>6.87</v>
      </c>
      <c r="D1837" s="5">
        <v>7.42</v>
      </c>
      <c r="E1837" s="5">
        <v>8</v>
      </c>
      <c r="F1837" s="5">
        <v>8.2799999999999994</v>
      </c>
      <c r="G1837" s="5">
        <v>8.84</v>
      </c>
      <c r="H1837" s="5">
        <v>9.49</v>
      </c>
      <c r="I1837" s="5">
        <v>22.18</v>
      </c>
      <c r="J1837" s="5">
        <v>22.18</v>
      </c>
      <c r="K1837" s="5">
        <v>22.18</v>
      </c>
      <c r="L1837" s="5">
        <v>22.18</v>
      </c>
      <c r="M1837" s="5">
        <v>22.18</v>
      </c>
    </row>
    <row r="1838" spans="1:13" ht="15" customHeight="1" x14ac:dyDescent="0.35">
      <c r="A1838" s="1">
        <v>9</v>
      </c>
      <c r="B1838" s="4">
        <v>6.87</v>
      </c>
      <c r="C1838" s="4">
        <v>6.87</v>
      </c>
      <c r="D1838" s="5">
        <v>7.45</v>
      </c>
      <c r="E1838" s="5">
        <v>8.07</v>
      </c>
      <c r="F1838" s="5">
        <v>8.4600000000000009</v>
      </c>
      <c r="G1838" s="5">
        <v>9.2100000000000009</v>
      </c>
      <c r="H1838" s="5">
        <v>10</v>
      </c>
      <c r="I1838" s="5">
        <v>23.38</v>
      </c>
      <c r="J1838" s="5">
        <v>23.38</v>
      </c>
      <c r="K1838" s="5">
        <v>23.38</v>
      </c>
      <c r="L1838" s="5">
        <v>23.38</v>
      </c>
      <c r="M1838" s="5">
        <v>23.38</v>
      </c>
    </row>
    <row r="1839" spans="1:13" ht="15" customHeight="1" x14ac:dyDescent="0.35">
      <c r="A1839" s="1">
        <v>10</v>
      </c>
      <c r="B1839" s="5">
        <v>8.07</v>
      </c>
      <c r="C1839" s="5">
        <v>8.67</v>
      </c>
      <c r="D1839" s="5">
        <v>9.5</v>
      </c>
      <c r="E1839" s="5">
        <v>10.47</v>
      </c>
      <c r="F1839" s="5">
        <v>10.81</v>
      </c>
      <c r="G1839" s="5">
        <v>12.01</v>
      </c>
      <c r="H1839" s="5">
        <v>13.4</v>
      </c>
      <c r="I1839" s="5">
        <v>25.66</v>
      </c>
      <c r="J1839" s="5">
        <v>25.66</v>
      </c>
      <c r="K1839" s="5">
        <v>25.66</v>
      </c>
      <c r="L1839" s="5">
        <v>25.66</v>
      </c>
      <c r="M1839" s="5">
        <v>25.66</v>
      </c>
    </row>
    <row r="1840" spans="1:13" ht="15" customHeight="1" x14ac:dyDescent="0.35">
      <c r="A1840" s="1">
        <v>11</v>
      </c>
      <c r="B1840" s="5">
        <v>8.52</v>
      </c>
      <c r="C1840" s="5">
        <v>8.86</v>
      </c>
      <c r="D1840" s="5">
        <v>9.7100000000000009</v>
      </c>
      <c r="E1840" s="5">
        <v>10.53</v>
      </c>
      <c r="F1840" s="5">
        <v>11.08</v>
      </c>
      <c r="G1840" s="5">
        <v>13.05</v>
      </c>
      <c r="H1840" s="5">
        <v>14.28</v>
      </c>
      <c r="I1840" s="5">
        <v>27.45</v>
      </c>
      <c r="J1840" s="5">
        <v>27.45</v>
      </c>
      <c r="K1840" s="5">
        <v>27.45</v>
      </c>
      <c r="L1840" s="5">
        <v>27.45</v>
      </c>
      <c r="M1840" s="5">
        <v>27.45</v>
      </c>
    </row>
    <row r="1841" spans="1:13" ht="15" customHeight="1" x14ac:dyDescent="0.35">
      <c r="A1841" s="1">
        <v>12</v>
      </c>
      <c r="B1841" s="5">
        <v>8.59</v>
      </c>
      <c r="C1841" s="5">
        <v>9.24</v>
      </c>
      <c r="D1841" s="5">
        <v>9.8000000000000007</v>
      </c>
      <c r="E1841" s="5">
        <v>10.68</v>
      </c>
      <c r="F1841" s="5">
        <v>11.47</v>
      </c>
      <c r="G1841" s="5">
        <v>13.68</v>
      </c>
      <c r="H1841" s="5">
        <v>14.84</v>
      </c>
      <c r="I1841" s="5">
        <v>29.45</v>
      </c>
      <c r="J1841" s="5">
        <v>29.45</v>
      </c>
      <c r="K1841" s="5">
        <v>29.45</v>
      </c>
      <c r="L1841" s="5">
        <v>29.45</v>
      </c>
      <c r="M1841" s="5">
        <v>29.45</v>
      </c>
    </row>
    <row r="1842" spans="1:13" ht="15" customHeight="1" x14ac:dyDescent="0.35">
      <c r="A1842" s="1">
        <v>13</v>
      </c>
      <c r="B1842" s="5">
        <v>8.6</v>
      </c>
      <c r="C1842" s="5">
        <v>9.24</v>
      </c>
      <c r="D1842" s="5">
        <v>9.84</v>
      </c>
      <c r="E1842" s="5">
        <v>10.8</v>
      </c>
      <c r="F1842" s="5">
        <v>11.83</v>
      </c>
      <c r="G1842" s="5">
        <v>14.4</v>
      </c>
      <c r="H1842" s="5">
        <v>15.51</v>
      </c>
      <c r="I1842" s="5">
        <v>31.46</v>
      </c>
      <c r="J1842" s="5">
        <v>31.46</v>
      </c>
      <c r="K1842" s="5">
        <v>31.46</v>
      </c>
      <c r="L1842" s="5">
        <v>31.46</v>
      </c>
      <c r="M1842" s="5">
        <v>31.46</v>
      </c>
    </row>
    <row r="1843" spans="1:13" ht="15" customHeight="1" x14ac:dyDescent="0.35">
      <c r="A1843" s="1">
        <v>14</v>
      </c>
      <c r="B1843" s="5">
        <v>9.02</v>
      </c>
      <c r="C1843" s="5">
        <v>9.5299999999999994</v>
      </c>
      <c r="D1843" s="5">
        <v>10.01</v>
      </c>
      <c r="E1843" s="5">
        <v>11.15</v>
      </c>
      <c r="F1843" s="5">
        <v>12.52</v>
      </c>
      <c r="G1843" s="5">
        <v>15.55</v>
      </c>
      <c r="H1843" s="5">
        <v>16.86</v>
      </c>
      <c r="I1843" s="5">
        <v>33.5</v>
      </c>
      <c r="J1843" s="5">
        <v>33.5</v>
      </c>
      <c r="K1843" s="5">
        <v>33.5</v>
      </c>
      <c r="L1843" s="5">
        <v>33.5</v>
      </c>
      <c r="M1843" s="5">
        <v>33.5</v>
      </c>
    </row>
    <row r="1844" spans="1:13" ht="15" customHeight="1" x14ac:dyDescent="0.35">
      <c r="A1844" s="1">
        <v>15</v>
      </c>
      <c r="B1844" s="5">
        <v>9.0299999999999994</v>
      </c>
      <c r="C1844" s="5">
        <v>9.66</v>
      </c>
      <c r="D1844" s="5">
        <v>10.16</v>
      </c>
      <c r="E1844" s="5">
        <v>11.46</v>
      </c>
      <c r="F1844" s="5">
        <v>13.21</v>
      </c>
      <c r="G1844" s="5">
        <v>15.91</v>
      </c>
      <c r="H1844" s="5">
        <v>17.559999999999999</v>
      </c>
      <c r="I1844" s="5">
        <v>35.479999999999997</v>
      </c>
      <c r="J1844" s="5">
        <v>35.479999999999997</v>
      </c>
      <c r="K1844" s="5">
        <v>35.479999999999997</v>
      </c>
      <c r="L1844" s="5">
        <v>35.479999999999997</v>
      </c>
      <c r="M1844" s="5">
        <v>35.479999999999997</v>
      </c>
    </row>
    <row r="1845" spans="1:13" ht="15" customHeight="1" x14ac:dyDescent="0.35">
      <c r="A1845" s="1">
        <v>16</v>
      </c>
      <c r="B1845" s="5">
        <v>9.5399999999999991</v>
      </c>
      <c r="C1845" s="5">
        <v>10.33</v>
      </c>
      <c r="D1845" s="5">
        <v>10.66</v>
      </c>
      <c r="E1845" s="5">
        <v>12.1</v>
      </c>
      <c r="F1845" s="5">
        <v>14.16</v>
      </c>
      <c r="G1845" s="5">
        <v>17.39</v>
      </c>
      <c r="H1845" s="5">
        <v>18.989999999999998</v>
      </c>
      <c r="I1845" s="5">
        <v>37.159999999999997</v>
      </c>
      <c r="J1845" s="5">
        <v>37.159999999999997</v>
      </c>
      <c r="K1845" s="5">
        <v>37.159999999999997</v>
      </c>
      <c r="L1845" s="5">
        <v>37.159999999999997</v>
      </c>
      <c r="M1845" s="5">
        <v>37.159999999999997</v>
      </c>
    </row>
    <row r="1846" spans="1:13" ht="15" customHeight="1" x14ac:dyDescent="0.35">
      <c r="A1846" s="1">
        <v>17</v>
      </c>
      <c r="B1846" s="5">
        <v>9.61</v>
      </c>
      <c r="C1846" s="5">
        <v>10.55</v>
      </c>
      <c r="D1846" s="5">
        <v>10.77</v>
      </c>
      <c r="E1846" s="5">
        <v>12.44</v>
      </c>
      <c r="F1846" s="5">
        <v>14.65</v>
      </c>
      <c r="G1846" s="5">
        <v>18.14</v>
      </c>
      <c r="H1846" s="5">
        <v>18.989999999999998</v>
      </c>
      <c r="I1846" s="5">
        <v>39.01</v>
      </c>
      <c r="J1846" s="5">
        <v>39.01</v>
      </c>
      <c r="K1846" s="5">
        <v>39.01</v>
      </c>
      <c r="L1846" s="5">
        <v>39.01</v>
      </c>
      <c r="M1846" s="5">
        <v>39.01</v>
      </c>
    </row>
    <row r="1847" spans="1:13" ht="15" customHeight="1" x14ac:dyDescent="0.35">
      <c r="A1847" s="1">
        <v>18</v>
      </c>
      <c r="B1847" s="5">
        <v>9.7100000000000009</v>
      </c>
      <c r="C1847" s="5">
        <v>10.68</v>
      </c>
      <c r="D1847" s="5">
        <v>10.88</v>
      </c>
      <c r="E1847" s="5">
        <v>13.04</v>
      </c>
      <c r="F1847" s="5">
        <v>15.42</v>
      </c>
      <c r="G1847" s="5">
        <v>18.829999999999998</v>
      </c>
      <c r="H1847" s="5">
        <v>20.48</v>
      </c>
      <c r="I1847" s="5">
        <v>40.99</v>
      </c>
      <c r="J1847" s="5">
        <v>40.99</v>
      </c>
      <c r="K1847" s="5">
        <v>40.99</v>
      </c>
      <c r="L1847" s="5">
        <v>40.99</v>
      </c>
      <c r="M1847" s="5">
        <v>40.99</v>
      </c>
    </row>
    <row r="1848" spans="1:13" ht="15" customHeight="1" x14ac:dyDescent="0.35">
      <c r="A1848" s="1">
        <v>19</v>
      </c>
      <c r="B1848" s="5">
        <v>9.9600000000000009</v>
      </c>
      <c r="C1848" s="5">
        <v>11.2</v>
      </c>
      <c r="D1848" s="5">
        <v>11.44</v>
      </c>
      <c r="E1848" s="5">
        <v>13.65</v>
      </c>
      <c r="F1848" s="5">
        <v>15.87</v>
      </c>
      <c r="G1848" s="5">
        <v>19.25</v>
      </c>
      <c r="H1848" s="5">
        <v>21.63</v>
      </c>
      <c r="I1848" s="5">
        <v>42.95</v>
      </c>
      <c r="J1848" s="5">
        <v>42.95</v>
      </c>
      <c r="K1848" s="5">
        <v>42.95</v>
      </c>
      <c r="L1848" s="5">
        <v>42.95</v>
      </c>
      <c r="M1848" s="5">
        <v>42.95</v>
      </c>
    </row>
    <row r="1849" spans="1:13" ht="15" customHeight="1" x14ac:dyDescent="0.35">
      <c r="A1849" s="1">
        <v>20</v>
      </c>
      <c r="B1849" s="5">
        <v>9.9600000000000009</v>
      </c>
      <c r="C1849" s="5">
        <v>11.21</v>
      </c>
      <c r="D1849" s="5">
        <v>11.45</v>
      </c>
      <c r="E1849" s="5">
        <v>14.09</v>
      </c>
      <c r="F1849" s="5">
        <v>16.41</v>
      </c>
      <c r="G1849" s="5">
        <v>19.97</v>
      </c>
      <c r="H1849" s="5">
        <v>22.24</v>
      </c>
      <c r="I1849" s="5">
        <v>44.97</v>
      </c>
      <c r="J1849" s="5">
        <v>44.97</v>
      </c>
      <c r="K1849" s="5">
        <v>44.97</v>
      </c>
      <c r="L1849" s="5">
        <v>44.97</v>
      </c>
      <c r="M1849" s="5">
        <v>44.97</v>
      </c>
    </row>
    <row r="1850" spans="1:13" ht="15" customHeight="1" x14ac:dyDescent="0.35">
      <c r="A1850" s="1">
        <v>21</v>
      </c>
      <c r="B1850" s="5">
        <v>10.38</v>
      </c>
      <c r="C1850" s="5">
        <v>11.64</v>
      </c>
      <c r="D1850" s="5">
        <v>12.06</v>
      </c>
      <c r="E1850" s="5">
        <v>14.36</v>
      </c>
      <c r="F1850" s="5">
        <v>16.920000000000002</v>
      </c>
      <c r="G1850" s="5">
        <v>20.53</v>
      </c>
      <c r="H1850" s="5">
        <v>22.92</v>
      </c>
      <c r="I1850" s="5">
        <v>46.86</v>
      </c>
      <c r="J1850" s="5">
        <v>46.86</v>
      </c>
      <c r="K1850" s="5">
        <v>46.86</v>
      </c>
      <c r="L1850" s="5">
        <v>46.86</v>
      </c>
      <c r="M1850" s="5">
        <v>46.86</v>
      </c>
    </row>
    <row r="1851" spans="1:13" ht="15" customHeight="1" x14ac:dyDescent="0.35">
      <c r="A1851" s="1">
        <v>22</v>
      </c>
      <c r="B1851" s="5">
        <v>10.39</v>
      </c>
      <c r="C1851" s="5">
        <v>11.85</v>
      </c>
      <c r="D1851" s="5">
        <v>12.48</v>
      </c>
      <c r="E1851" s="5">
        <v>14.75</v>
      </c>
      <c r="F1851" s="5">
        <v>17.61</v>
      </c>
      <c r="G1851" s="5">
        <v>21.28</v>
      </c>
      <c r="H1851" s="5">
        <v>23.93</v>
      </c>
      <c r="I1851" s="5">
        <v>48.88</v>
      </c>
      <c r="J1851" s="5">
        <v>48.88</v>
      </c>
      <c r="K1851" s="5">
        <v>48.88</v>
      </c>
      <c r="L1851" s="5">
        <v>48.88</v>
      </c>
      <c r="M1851" s="5">
        <v>48.88</v>
      </c>
    </row>
    <row r="1852" spans="1:13" ht="15" customHeight="1" x14ac:dyDescent="0.35">
      <c r="A1852" s="1">
        <v>23</v>
      </c>
      <c r="B1852" s="5">
        <v>10.4</v>
      </c>
      <c r="C1852" s="5">
        <v>11.99</v>
      </c>
      <c r="D1852" s="5">
        <v>12.66</v>
      </c>
      <c r="E1852" s="5">
        <v>14.92</v>
      </c>
      <c r="F1852" s="5">
        <v>18.28</v>
      </c>
      <c r="G1852" s="5">
        <v>21.79</v>
      </c>
      <c r="H1852" s="5">
        <v>24.88</v>
      </c>
      <c r="I1852" s="5">
        <v>50.9</v>
      </c>
      <c r="J1852" s="5">
        <v>50.9</v>
      </c>
      <c r="K1852" s="5">
        <v>50.9</v>
      </c>
      <c r="L1852" s="5">
        <v>50.9</v>
      </c>
      <c r="M1852" s="5">
        <v>50.9</v>
      </c>
    </row>
    <row r="1853" spans="1:13" ht="15" customHeight="1" x14ac:dyDescent="0.35">
      <c r="A1853" s="1">
        <v>24</v>
      </c>
      <c r="B1853" s="5">
        <v>10.76</v>
      </c>
      <c r="C1853" s="5">
        <v>12.56</v>
      </c>
      <c r="D1853" s="5">
        <v>13.42</v>
      </c>
      <c r="E1853" s="5">
        <v>15.83</v>
      </c>
      <c r="F1853" s="5">
        <v>19.29</v>
      </c>
      <c r="G1853" s="5">
        <v>22.52</v>
      </c>
      <c r="H1853" s="5">
        <v>26.3</v>
      </c>
      <c r="I1853" s="5">
        <v>52.86</v>
      </c>
      <c r="J1853" s="5">
        <v>52.86</v>
      </c>
      <c r="K1853" s="5">
        <v>52.86</v>
      </c>
      <c r="L1853" s="5">
        <v>52.86</v>
      </c>
      <c r="M1853" s="5">
        <v>52.86</v>
      </c>
    </row>
    <row r="1854" spans="1:13" ht="15" customHeight="1" x14ac:dyDescent="0.35">
      <c r="A1854" s="1">
        <v>25</v>
      </c>
      <c r="B1854" s="5">
        <v>10.77</v>
      </c>
      <c r="C1854" s="5">
        <v>12.61</v>
      </c>
      <c r="D1854" s="5">
        <v>13.47</v>
      </c>
      <c r="E1854" s="5">
        <v>16.14</v>
      </c>
      <c r="F1854" s="5">
        <v>19.7</v>
      </c>
      <c r="G1854" s="5">
        <v>23.76</v>
      </c>
      <c r="H1854" s="5">
        <v>27.11</v>
      </c>
      <c r="I1854" s="5">
        <v>54.83</v>
      </c>
      <c r="J1854" s="5">
        <v>54.83</v>
      </c>
      <c r="K1854" s="5">
        <v>54.83</v>
      </c>
      <c r="L1854" s="5">
        <v>54.83</v>
      </c>
      <c r="M1854" s="5">
        <v>54.83</v>
      </c>
    </row>
    <row r="1855" spans="1:13" ht="15" customHeight="1" x14ac:dyDescent="0.35">
      <c r="A1855" s="1">
        <v>26</v>
      </c>
      <c r="B1855" s="5">
        <v>11.32</v>
      </c>
      <c r="C1855" s="5">
        <v>13.05</v>
      </c>
      <c r="D1855" s="5">
        <v>14.04</v>
      </c>
      <c r="E1855" s="5">
        <v>16.8</v>
      </c>
      <c r="F1855" s="5">
        <v>20.420000000000002</v>
      </c>
      <c r="G1855" s="5">
        <v>24.74</v>
      </c>
      <c r="H1855" s="5">
        <v>28.23</v>
      </c>
      <c r="I1855" s="5">
        <v>56.79</v>
      </c>
      <c r="J1855" s="5">
        <v>56.79</v>
      </c>
      <c r="K1855" s="5">
        <v>56.79</v>
      </c>
      <c r="L1855" s="5">
        <v>56.79</v>
      </c>
      <c r="M1855" s="5">
        <v>56.79</v>
      </c>
    </row>
    <row r="1856" spans="1:13" ht="15" customHeight="1" x14ac:dyDescent="0.35">
      <c r="A1856" s="1">
        <v>27</v>
      </c>
      <c r="B1856" s="5">
        <v>11.64</v>
      </c>
      <c r="C1856" s="5">
        <v>13.36</v>
      </c>
      <c r="D1856" s="5">
        <v>14.31</v>
      </c>
      <c r="E1856" s="5">
        <v>17.07</v>
      </c>
      <c r="F1856" s="5">
        <v>21.24</v>
      </c>
      <c r="G1856" s="5">
        <v>25.2</v>
      </c>
      <c r="H1856" s="5">
        <v>28.71</v>
      </c>
      <c r="I1856" s="5">
        <v>58.78</v>
      </c>
      <c r="J1856" s="5">
        <v>58.78</v>
      </c>
      <c r="K1856" s="5">
        <v>58.78</v>
      </c>
      <c r="L1856" s="5">
        <v>58.78</v>
      </c>
      <c r="M1856" s="5">
        <v>58.78</v>
      </c>
    </row>
    <row r="1857" spans="1:13" ht="15" customHeight="1" x14ac:dyDescent="0.35">
      <c r="A1857" s="1">
        <v>28</v>
      </c>
      <c r="B1857" s="5">
        <v>11.91</v>
      </c>
      <c r="C1857" s="5">
        <v>13.68</v>
      </c>
      <c r="D1857" s="5">
        <v>14.87</v>
      </c>
      <c r="E1857" s="5">
        <v>17.940000000000001</v>
      </c>
      <c r="F1857" s="5">
        <v>22.28</v>
      </c>
      <c r="G1857" s="5">
        <v>26.33</v>
      </c>
      <c r="H1857" s="5">
        <v>29.8</v>
      </c>
      <c r="I1857" s="5">
        <v>60.85</v>
      </c>
      <c r="J1857" s="5">
        <v>60.85</v>
      </c>
      <c r="K1857" s="5">
        <v>60.85</v>
      </c>
      <c r="L1857" s="5">
        <v>60.85</v>
      </c>
      <c r="M1857" s="5">
        <v>60.85</v>
      </c>
    </row>
    <row r="1858" spans="1:13" ht="15" customHeight="1" x14ac:dyDescent="0.35">
      <c r="A1858" s="1">
        <v>29</v>
      </c>
      <c r="B1858" s="5">
        <v>11.91</v>
      </c>
      <c r="C1858" s="5">
        <v>13.94</v>
      </c>
      <c r="D1858" s="5">
        <v>15</v>
      </c>
      <c r="E1858" s="5">
        <v>17.95</v>
      </c>
      <c r="F1858" s="5">
        <v>22.92</v>
      </c>
      <c r="G1858" s="5">
        <v>26.93</v>
      </c>
      <c r="H1858" s="5">
        <v>30.6</v>
      </c>
      <c r="I1858" s="5">
        <v>62.9</v>
      </c>
      <c r="J1858" s="5">
        <v>62.9</v>
      </c>
      <c r="K1858" s="5">
        <v>62.9</v>
      </c>
      <c r="L1858" s="5">
        <v>62.9</v>
      </c>
      <c r="M1858" s="5">
        <v>62.9</v>
      </c>
    </row>
    <row r="1859" spans="1:13" ht="15" customHeight="1" x14ac:dyDescent="0.35">
      <c r="A1859" s="1">
        <v>30</v>
      </c>
      <c r="B1859" s="5">
        <v>11.96</v>
      </c>
      <c r="C1859" s="5">
        <v>14.28</v>
      </c>
      <c r="D1859" s="5">
        <v>15.57</v>
      </c>
      <c r="E1859" s="5">
        <v>18.66</v>
      </c>
      <c r="F1859" s="5">
        <v>23.29</v>
      </c>
      <c r="G1859" s="5">
        <v>27.06</v>
      </c>
      <c r="H1859" s="5">
        <v>31.87</v>
      </c>
      <c r="I1859" s="5">
        <v>64.91</v>
      </c>
      <c r="J1859" s="5">
        <v>64.91</v>
      </c>
      <c r="K1859" s="5">
        <v>64.91</v>
      </c>
      <c r="L1859" s="5">
        <v>64.91</v>
      </c>
      <c r="M1859" s="5">
        <v>64.91</v>
      </c>
    </row>
    <row r="1860" spans="1:13" ht="15" customHeight="1" x14ac:dyDescent="0.35">
      <c r="A1860" s="1">
        <v>31</v>
      </c>
      <c r="B1860" s="5">
        <v>12.57</v>
      </c>
      <c r="C1860" s="5">
        <v>14.59</v>
      </c>
      <c r="D1860" s="5">
        <v>16.010000000000002</v>
      </c>
      <c r="E1860" s="5">
        <v>19.04</v>
      </c>
      <c r="F1860" s="5">
        <v>23.96</v>
      </c>
      <c r="G1860" s="5">
        <v>28.06</v>
      </c>
      <c r="H1860" s="5">
        <v>32.89</v>
      </c>
      <c r="I1860" s="5">
        <v>66.87</v>
      </c>
      <c r="J1860" s="5">
        <v>66.87</v>
      </c>
      <c r="K1860" s="5">
        <v>66.87</v>
      </c>
      <c r="L1860" s="5">
        <v>66.87</v>
      </c>
      <c r="M1860" s="5">
        <v>66.87</v>
      </c>
    </row>
    <row r="1861" spans="1:13" ht="15" customHeight="1" x14ac:dyDescent="0.35">
      <c r="A1861" s="1">
        <v>32</v>
      </c>
      <c r="B1861" s="5">
        <v>12.58</v>
      </c>
      <c r="C1861" s="5">
        <v>14.6</v>
      </c>
      <c r="D1861" s="5">
        <v>16.02</v>
      </c>
      <c r="E1861" s="5">
        <v>19.05</v>
      </c>
      <c r="F1861" s="5">
        <v>23.97</v>
      </c>
      <c r="G1861" s="5">
        <v>28.07</v>
      </c>
      <c r="H1861" s="5">
        <v>33.25</v>
      </c>
      <c r="I1861" s="5">
        <v>68.89</v>
      </c>
      <c r="J1861" s="5">
        <v>68.89</v>
      </c>
      <c r="K1861" s="5">
        <v>68.89</v>
      </c>
      <c r="L1861" s="5">
        <v>68.89</v>
      </c>
      <c r="M1861" s="5">
        <v>68.89</v>
      </c>
    </row>
    <row r="1862" spans="1:13" ht="15" customHeight="1" x14ac:dyDescent="0.35">
      <c r="A1862" s="1">
        <v>33</v>
      </c>
      <c r="B1862" s="5">
        <v>12.62</v>
      </c>
      <c r="C1862" s="5">
        <v>14.81</v>
      </c>
      <c r="D1862" s="5">
        <v>16.739999999999998</v>
      </c>
      <c r="E1862" s="5">
        <v>19.940000000000001</v>
      </c>
      <c r="F1862" s="5">
        <v>25.48</v>
      </c>
      <c r="G1862" s="5">
        <v>29</v>
      </c>
      <c r="H1862" s="5">
        <v>34.15</v>
      </c>
      <c r="I1862" s="5">
        <v>70.84</v>
      </c>
      <c r="J1862" s="5">
        <v>70.84</v>
      </c>
      <c r="K1862" s="5">
        <v>70.84</v>
      </c>
      <c r="L1862" s="5">
        <v>70.84</v>
      </c>
      <c r="M1862" s="5">
        <v>70.84</v>
      </c>
    </row>
    <row r="1863" spans="1:13" ht="15" customHeight="1" x14ac:dyDescent="0.35">
      <c r="A1863" s="1">
        <v>34</v>
      </c>
      <c r="B1863" s="5">
        <v>12.63</v>
      </c>
      <c r="C1863" s="5">
        <v>15.14</v>
      </c>
      <c r="D1863" s="5">
        <v>17.27</v>
      </c>
      <c r="E1863" s="5">
        <v>20.63</v>
      </c>
      <c r="F1863" s="5">
        <v>25.48</v>
      </c>
      <c r="G1863" s="5">
        <v>29.86</v>
      </c>
      <c r="H1863" s="5">
        <v>35.79</v>
      </c>
      <c r="I1863" s="5">
        <v>72.819999999999993</v>
      </c>
      <c r="J1863" s="5">
        <v>72.819999999999993</v>
      </c>
      <c r="K1863" s="5">
        <v>72.819999999999993</v>
      </c>
      <c r="L1863" s="5">
        <v>72.819999999999993</v>
      </c>
      <c r="M1863" s="5">
        <v>72.819999999999993</v>
      </c>
    </row>
    <row r="1864" spans="1:13" ht="15" customHeight="1" x14ac:dyDescent="0.35">
      <c r="A1864" s="1">
        <v>35</v>
      </c>
      <c r="B1864" s="5">
        <v>12.87</v>
      </c>
      <c r="C1864" s="5">
        <v>15.83</v>
      </c>
      <c r="D1864" s="5">
        <v>17.7</v>
      </c>
      <c r="E1864" s="5">
        <v>20.97</v>
      </c>
      <c r="F1864" s="5">
        <v>25.92</v>
      </c>
      <c r="G1864" s="5">
        <v>30.63</v>
      </c>
      <c r="H1864" s="5">
        <v>36.04</v>
      </c>
      <c r="I1864" s="5">
        <v>74.709999999999994</v>
      </c>
      <c r="J1864" s="5">
        <v>74.709999999999994</v>
      </c>
      <c r="K1864" s="5">
        <v>74.709999999999994</v>
      </c>
      <c r="L1864" s="5">
        <v>74.709999999999994</v>
      </c>
      <c r="M1864" s="5">
        <v>74.709999999999994</v>
      </c>
    </row>
    <row r="1865" spans="1:13" ht="15" customHeight="1" x14ac:dyDescent="0.35">
      <c r="A1865" s="1">
        <v>36</v>
      </c>
      <c r="B1865" s="5">
        <v>13.06</v>
      </c>
      <c r="C1865" s="5">
        <v>15.95</v>
      </c>
      <c r="D1865" s="5">
        <v>17.98</v>
      </c>
      <c r="E1865" s="5">
        <v>21.65</v>
      </c>
      <c r="F1865" s="5">
        <v>27.01</v>
      </c>
      <c r="G1865" s="5">
        <v>31.67</v>
      </c>
      <c r="H1865" s="5">
        <v>37.450000000000003</v>
      </c>
      <c r="I1865" s="5">
        <v>76.489999999999995</v>
      </c>
      <c r="J1865" s="5">
        <v>76.489999999999995</v>
      </c>
      <c r="K1865" s="5">
        <v>76.489999999999995</v>
      </c>
      <c r="L1865" s="5">
        <v>76.489999999999995</v>
      </c>
      <c r="M1865" s="5">
        <v>76.489999999999995</v>
      </c>
    </row>
    <row r="1866" spans="1:13" ht="15" customHeight="1" x14ac:dyDescent="0.35">
      <c r="A1866" s="1">
        <v>37</v>
      </c>
      <c r="B1866" s="5">
        <v>13.35</v>
      </c>
      <c r="C1866" s="5">
        <v>16.170000000000002</v>
      </c>
      <c r="D1866" s="5">
        <v>18.170000000000002</v>
      </c>
      <c r="E1866" s="5">
        <v>21.97</v>
      </c>
      <c r="F1866" s="5">
        <v>27.13</v>
      </c>
      <c r="G1866" s="5">
        <v>32.700000000000003</v>
      </c>
      <c r="H1866" s="5">
        <v>37.82</v>
      </c>
      <c r="I1866" s="5">
        <v>77.95</v>
      </c>
      <c r="J1866" s="5">
        <v>77.95</v>
      </c>
      <c r="K1866" s="5">
        <v>77.95</v>
      </c>
      <c r="L1866" s="5">
        <v>77.95</v>
      </c>
      <c r="M1866" s="5">
        <v>77.95</v>
      </c>
    </row>
    <row r="1867" spans="1:13" ht="15" customHeight="1" x14ac:dyDescent="0.35">
      <c r="A1867" s="1">
        <v>38</v>
      </c>
      <c r="B1867" s="5">
        <v>13.46</v>
      </c>
      <c r="C1867" s="5">
        <v>16.41</v>
      </c>
      <c r="D1867" s="5">
        <v>18.75</v>
      </c>
      <c r="E1867" s="5">
        <v>22.5</v>
      </c>
      <c r="F1867" s="5">
        <v>27.74</v>
      </c>
      <c r="G1867" s="5">
        <v>32.83</v>
      </c>
      <c r="H1867" s="5">
        <v>38.520000000000003</v>
      </c>
      <c r="I1867" s="5">
        <v>79.44</v>
      </c>
      <c r="J1867" s="5">
        <v>79.44</v>
      </c>
      <c r="K1867" s="5">
        <v>79.44</v>
      </c>
      <c r="L1867" s="5">
        <v>79.44</v>
      </c>
      <c r="M1867" s="5">
        <v>79.44</v>
      </c>
    </row>
    <row r="1868" spans="1:13" ht="15" customHeight="1" x14ac:dyDescent="0.35">
      <c r="A1868" s="1">
        <v>39</v>
      </c>
      <c r="B1868" s="5">
        <v>14.01</v>
      </c>
      <c r="C1868" s="5">
        <v>17.05</v>
      </c>
      <c r="D1868" s="5">
        <v>19.55</v>
      </c>
      <c r="E1868" s="5">
        <v>23.36</v>
      </c>
      <c r="F1868" s="5">
        <v>29</v>
      </c>
      <c r="G1868" s="5">
        <v>34.119999999999997</v>
      </c>
      <c r="H1868" s="5">
        <v>39.31</v>
      </c>
      <c r="I1868" s="5">
        <v>80.88</v>
      </c>
      <c r="J1868" s="5">
        <v>80.88</v>
      </c>
      <c r="K1868" s="5">
        <v>80.88</v>
      </c>
      <c r="L1868" s="5">
        <v>80.88</v>
      </c>
      <c r="M1868" s="5">
        <v>80.88</v>
      </c>
    </row>
    <row r="1869" spans="1:13" ht="15" customHeight="1" x14ac:dyDescent="0.35">
      <c r="A1869" s="1">
        <v>40</v>
      </c>
      <c r="B1869" s="5">
        <v>14.02</v>
      </c>
      <c r="C1869" s="5">
        <v>17.12</v>
      </c>
      <c r="D1869" s="5">
        <v>19.55</v>
      </c>
      <c r="E1869" s="5">
        <v>23.37</v>
      </c>
      <c r="F1869" s="5">
        <v>29.04</v>
      </c>
      <c r="G1869" s="5">
        <v>34.119999999999997</v>
      </c>
      <c r="H1869" s="5">
        <v>39.33</v>
      </c>
      <c r="I1869" s="5">
        <v>82.34</v>
      </c>
      <c r="J1869" s="5">
        <v>82.34</v>
      </c>
      <c r="K1869" s="5">
        <v>82.34</v>
      </c>
      <c r="L1869" s="5">
        <v>82.34</v>
      </c>
      <c r="M1869" s="5">
        <v>82.34</v>
      </c>
    </row>
    <row r="1870" spans="1:13" ht="15" customHeight="1" x14ac:dyDescent="0.35">
      <c r="A1870" s="1">
        <v>41</v>
      </c>
      <c r="B1870" s="5">
        <v>14.34</v>
      </c>
      <c r="C1870" s="5">
        <v>17.850000000000001</v>
      </c>
      <c r="D1870" s="5">
        <v>20.12</v>
      </c>
      <c r="E1870" s="5">
        <v>24.2</v>
      </c>
      <c r="F1870" s="5">
        <v>30.38</v>
      </c>
      <c r="G1870" s="5">
        <v>35.17</v>
      </c>
      <c r="H1870" s="5">
        <v>41.02</v>
      </c>
      <c r="I1870" s="5">
        <v>83.83</v>
      </c>
      <c r="J1870" s="5">
        <v>83.83</v>
      </c>
      <c r="K1870" s="5">
        <v>83.83</v>
      </c>
      <c r="L1870" s="5">
        <v>83.83</v>
      </c>
      <c r="M1870" s="5">
        <v>83.83</v>
      </c>
    </row>
    <row r="1871" spans="1:13" ht="15" customHeight="1" x14ac:dyDescent="0.35">
      <c r="A1871" s="1">
        <v>42</v>
      </c>
      <c r="B1871" s="5">
        <v>14.35</v>
      </c>
      <c r="C1871" s="5">
        <v>17.920000000000002</v>
      </c>
      <c r="D1871" s="5">
        <v>20.9</v>
      </c>
      <c r="E1871" s="5">
        <v>24.2</v>
      </c>
      <c r="F1871" s="5">
        <v>30.39</v>
      </c>
      <c r="G1871" s="5">
        <v>35.770000000000003</v>
      </c>
      <c r="H1871" s="5">
        <v>41.02</v>
      </c>
      <c r="I1871" s="5">
        <v>85.29</v>
      </c>
      <c r="J1871" s="5">
        <v>85.29</v>
      </c>
      <c r="K1871" s="5">
        <v>85.29</v>
      </c>
      <c r="L1871" s="5">
        <v>85.29</v>
      </c>
      <c r="M1871" s="5">
        <v>85.29</v>
      </c>
    </row>
    <row r="1872" spans="1:13" ht="15" customHeight="1" x14ac:dyDescent="0.35">
      <c r="A1872" s="1">
        <v>43</v>
      </c>
      <c r="B1872" s="5">
        <v>14.62</v>
      </c>
      <c r="C1872" s="5">
        <v>18.18</v>
      </c>
      <c r="D1872" s="5">
        <v>20.94</v>
      </c>
      <c r="E1872" s="5">
        <v>25.51</v>
      </c>
      <c r="F1872" s="5">
        <v>32.21</v>
      </c>
      <c r="G1872" s="5">
        <v>37.07</v>
      </c>
      <c r="H1872" s="5">
        <v>42.14</v>
      </c>
      <c r="I1872" s="5">
        <v>86.77</v>
      </c>
      <c r="J1872" s="5">
        <v>86.77</v>
      </c>
      <c r="K1872" s="5">
        <v>86.77</v>
      </c>
      <c r="L1872" s="5">
        <v>86.77</v>
      </c>
      <c r="M1872" s="5">
        <v>86.77</v>
      </c>
    </row>
    <row r="1873" spans="1:13" ht="15" customHeight="1" x14ac:dyDescent="0.35">
      <c r="A1873" s="1">
        <v>44</v>
      </c>
      <c r="B1873" s="5">
        <v>14.83</v>
      </c>
      <c r="C1873" s="5">
        <v>18.45</v>
      </c>
      <c r="D1873" s="5">
        <v>21.47</v>
      </c>
      <c r="E1873" s="5">
        <v>25.97</v>
      </c>
      <c r="F1873" s="5">
        <v>32.22</v>
      </c>
      <c r="G1873" s="5">
        <v>38.22</v>
      </c>
      <c r="H1873" s="5">
        <v>42.57</v>
      </c>
      <c r="I1873" s="5">
        <v>88.22</v>
      </c>
      <c r="J1873" s="5">
        <v>88.22</v>
      </c>
      <c r="K1873" s="5">
        <v>88.22</v>
      </c>
      <c r="L1873" s="5">
        <v>88.22</v>
      </c>
      <c r="M1873" s="5">
        <v>88.22</v>
      </c>
    </row>
    <row r="1874" spans="1:13" ht="15" customHeight="1" x14ac:dyDescent="0.35">
      <c r="A1874" s="1">
        <v>45</v>
      </c>
      <c r="B1874" s="5">
        <v>14.84</v>
      </c>
      <c r="C1874" s="5">
        <v>18.46</v>
      </c>
      <c r="D1874" s="5">
        <v>21.48</v>
      </c>
      <c r="E1874" s="5">
        <v>25.98</v>
      </c>
      <c r="F1874" s="5">
        <v>32.229999999999997</v>
      </c>
      <c r="G1874" s="5">
        <v>38.97</v>
      </c>
      <c r="H1874" s="5">
        <v>42.87</v>
      </c>
      <c r="I1874" s="5">
        <v>89.67</v>
      </c>
      <c r="J1874" s="5">
        <v>89.67</v>
      </c>
      <c r="K1874" s="5">
        <v>89.67</v>
      </c>
      <c r="L1874" s="5">
        <v>89.67</v>
      </c>
      <c r="M1874" s="5">
        <v>89.67</v>
      </c>
    </row>
    <row r="1875" spans="1:13" ht="15" customHeight="1" x14ac:dyDescent="0.35">
      <c r="A1875" s="1">
        <v>46</v>
      </c>
      <c r="B1875" s="5">
        <v>15.26</v>
      </c>
      <c r="C1875" s="5">
        <v>18.649999999999999</v>
      </c>
      <c r="D1875" s="5">
        <v>22.16</v>
      </c>
      <c r="E1875" s="5">
        <v>26.47</v>
      </c>
      <c r="F1875" s="5">
        <v>33.08</v>
      </c>
      <c r="G1875" s="5">
        <v>39.39</v>
      </c>
      <c r="H1875" s="5">
        <v>44.01</v>
      </c>
      <c r="I1875" s="5">
        <v>91.13</v>
      </c>
      <c r="J1875" s="5">
        <v>91.13</v>
      </c>
      <c r="K1875" s="5">
        <v>91.13</v>
      </c>
      <c r="L1875" s="5">
        <v>91.13</v>
      </c>
      <c r="M1875" s="5">
        <v>91.13</v>
      </c>
    </row>
    <row r="1876" spans="1:13" ht="15" customHeight="1" x14ac:dyDescent="0.35">
      <c r="A1876" s="1">
        <v>47</v>
      </c>
      <c r="B1876" s="5">
        <v>15.27</v>
      </c>
      <c r="C1876" s="5">
        <v>19.07</v>
      </c>
      <c r="D1876" s="5">
        <v>22.52</v>
      </c>
      <c r="E1876" s="5">
        <v>26.66</v>
      </c>
      <c r="F1876" s="5">
        <v>33.549999999999997</v>
      </c>
      <c r="G1876" s="5">
        <v>40.15</v>
      </c>
      <c r="H1876" s="5">
        <v>44.72</v>
      </c>
      <c r="I1876" s="5">
        <v>92.62</v>
      </c>
      <c r="J1876" s="5">
        <v>92.62</v>
      </c>
      <c r="K1876" s="5">
        <v>92.62</v>
      </c>
      <c r="L1876" s="5">
        <v>92.62</v>
      </c>
      <c r="M1876" s="5">
        <v>92.62</v>
      </c>
    </row>
    <row r="1877" spans="1:13" ht="15" customHeight="1" x14ac:dyDescent="0.35">
      <c r="A1877" s="1">
        <v>48</v>
      </c>
      <c r="B1877" s="5">
        <v>15.28</v>
      </c>
      <c r="C1877" s="5">
        <v>19.11</v>
      </c>
      <c r="D1877" s="5">
        <v>22.78</v>
      </c>
      <c r="E1877" s="5">
        <v>27.63</v>
      </c>
      <c r="F1877" s="5">
        <v>34.03</v>
      </c>
      <c r="G1877" s="5">
        <v>40.82</v>
      </c>
      <c r="H1877" s="5">
        <v>45.77</v>
      </c>
      <c r="I1877" s="5">
        <v>94.09</v>
      </c>
      <c r="J1877" s="5">
        <v>94.09</v>
      </c>
      <c r="K1877" s="5">
        <v>94.09</v>
      </c>
      <c r="L1877" s="5">
        <v>94.09</v>
      </c>
      <c r="M1877" s="5">
        <v>94.09</v>
      </c>
    </row>
    <row r="1878" spans="1:13" ht="15" customHeight="1" x14ac:dyDescent="0.35">
      <c r="A1878" s="1">
        <v>49</v>
      </c>
      <c r="B1878" s="5">
        <v>15.28</v>
      </c>
      <c r="C1878" s="5">
        <v>19.11</v>
      </c>
      <c r="D1878" s="5">
        <v>22.78</v>
      </c>
      <c r="E1878" s="5">
        <v>27.64</v>
      </c>
      <c r="F1878" s="5">
        <v>34.54</v>
      </c>
      <c r="G1878" s="5">
        <v>41.65</v>
      </c>
      <c r="H1878" s="5">
        <v>46.04</v>
      </c>
      <c r="I1878" s="5">
        <v>95.55</v>
      </c>
      <c r="J1878" s="5">
        <v>95.55</v>
      </c>
      <c r="K1878" s="5">
        <v>95.55</v>
      </c>
      <c r="L1878" s="5">
        <v>95.55</v>
      </c>
      <c r="M1878" s="5">
        <v>95.55</v>
      </c>
    </row>
    <row r="1879" spans="1:13" ht="15" customHeight="1" x14ac:dyDescent="0.35">
      <c r="A1879" s="1">
        <v>50</v>
      </c>
      <c r="B1879" s="5">
        <v>15.29</v>
      </c>
      <c r="C1879" s="5">
        <v>19.12</v>
      </c>
      <c r="D1879" s="5">
        <v>22.79</v>
      </c>
      <c r="E1879" s="5">
        <v>27.65</v>
      </c>
      <c r="F1879" s="5">
        <v>34.58</v>
      </c>
      <c r="G1879" s="5">
        <v>41.7</v>
      </c>
      <c r="H1879" s="5">
        <v>46.34</v>
      </c>
      <c r="I1879" s="5">
        <v>97.03</v>
      </c>
      <c r="J1879" s="5">
        <v>97.03</v>
      </c>
      <c r="K1879" s="5">
        <v>97.03</v>
      </c>
      <c r="L1879" s="5">
        <v>97.03</v>
      </c>
      <c r="M1879" s="5">
        <v>97.03</v>
      </c>
    </row>
    <row r="1880" spans="1:13" ht="15" customHeight="1" x14ac:dyDescent="0.35">
      <c r="A1880" s="1">
        <v>51</v>
      </c>
      <c r="B1880" s="5">
        <v>15.29</v>
      </c>
      <c r="C1880" s="5">
        <v>19.13</v>
      </c>
      <c r="D1880" s="5">
        <v>22.8</v>
      </c>
      <c r="E1880" s="5">
        <v>27.66</v>
      </c>
      <c r="F1880" s="5">
        <v>34.85</v>
      </c>
      <c r="G1880" s="5">
        <v>42.02</v>
      </c>
      <c r="H1880" s="5">
        <v>47.63</v>
      </c>
      <c r="I1880" s="5">
        <v>98.51</v>
      </c>
      <c r="J1880" s="5">
        <v>98.51</v>
      </c>
      <c r="K1880" s="5">
        <v>98.51</v>
      </c>
      <c r="L1880" s="5">
        <v>98.51</v>
      </c>
      <c r="M1880" s="5">
        <v>98.51</v>
      </c>
    </row>
    <row r="1881" spans="1:13" ht="15" customHeight="1" x14ac:dyDescent="0.35">
      <c r="A1881" s="1">
        <v>52</v>
      </c>
      <c r="B1881" s="5">
        <v>15.3</v>
      </c>
      <c r="C1881" s="5">
        <v>19.14</v>
      </c>
      <c r="D1881" s="5">
        <v>22.81</v>
      </c>
      <c r="E1881" s="5">
        <v>27.67</v>
      </c>
      <c r="F1881" s="5">
        <v>34.85</v>
      </c>
      <c r="G1881" s="5">
        <v>42.03</v>
      </c>
      <c r="H1881" s="5">
        <v>47.64</v>
      </c>
      <c r="I1881" s="5">
        <v>99.96</v>
      </c>
      <c r="J1881" s="5">
        <v>99.96</v>
      </c>
      <c r="K1881" s="5">
        <v>99.96</v>
      </c>
      <c r="L1881" s="5">
        <v>99.96</v>
      </c>
      <c r="M1881" s="5">
        <v>99.96</v>
      </c>
    </row>
    <row r="1882" spans="1:13" ht="15" customHeight="1" x14ac:dyDescent="0.35">
      <c r="A1882" s="1">
        <v>53</v>
      </c>
      <c r="B1882" s="5">
        <v>15.31</v>
      </c>
      <c r="C1882" s="5">
        <v>19.14</v>
      </c>
      <c r="D1882" s="5">
        <v>22.81</v>
      </c>
      <c r="E1882" s="5">
        <v>27.94</v>
      </c>
      <c r="F1882" s="5">
        <v>34.86</v>
      </c>
      <c r="G1882" s="5">
        <v>42.04</v>
      </c>
      <c r="H1882" s="5">
        <v>48.1</v>
      </c>
      <c r="I1882" s="5">
        <v>101.45</v>
      </c>
      <c r="J1882" s="5">
        <v>101.45</v>
      </c>
      <c r="K1882" s="5">
        <v>101.45</v>
      </c>
      <c r="L1882" s="5">
        <v>101.45</v>
      </c>
      <c r="M1882" s="5">
        <v>101.45</v>
      </c>
    </row>
    <row r="1883" spans="1:13" ht="15" customHeight="1" x14ac:dyDescent="0.35">
      <c r="A1883" s="1">
        <v>54</v>
      </c>
      <c r="B1883" s="5">
        <v>15.31</v>
      </c>
      <c r="C1883" s="5">
        <v>19.14</v>
      </c>
      <c r="D1883" s="5">
        <v>22.86</v>
      </c>
      <c r="E1883" s="5">
        <v>28</v>
      </c>
      <c r="F1883" s="5">
        <v>34.869999999999997</v>
      </c>
      <c r="G1883" s="5">
        <v>42.04</v>
      </c>
      <c r="H1883" s="5">
        <v>48.11</v>
      </c>
      <c r="I1883" s="5">
        <v>102.89</v>
      </c>
      <c r="J1883" s="5">
        <v>102.89</v>
      </c>
      <c r="K1883" s="5">
        <v>102.89</v>
      </c>
      <c r="L1883" s="5">
        <v>102.89</v>
      </c>
      <c r="M1883" s="5">
        <v>102.89</v>
      </c>
    </row>
    <row r="1884" spans="1:13" ht="15" customHeight="1" x14ac:dyDescent="0.35">
      <c r="A1884" s="1">
        <v>55</v>
      </c>
      <c r="B1884" s="5">
        <v>15.32</v>
      </c>
      <c r="C1884" s="5">
        <v>19.149999999999999</v>
      </c>
      <c r="D1884" s="5">
        <v>22.86</v>
      </c>
      <c r="E1884" s="5">
        <v>28</v>
      </c>
      <c r="F1884" s="5">
        <v>34.869999999999997</v>
      </c>
      <c r="G1884" s="5">
        <v>42.04</v>
      </c>
      <c r="H1884" s="5">
        <v>48.11</v>
      </c>
      <c r="I1884" s="5">
        <v>104.33</v>
      </c>
      <c r="J1884" s="5">
        <v>104.33</v>
      </c>
      <c r="K1884" s="5">
        <v>104.33</v>
      </c>
      <c r="L1884" s="5">
        <v>104.33</v>
      </c>
      <c r="M1884" s="5">
        <v>104.33</v>
      </c>
    </row>
    <row r="1885" spans="1:13" ht="15" customHeight="1" x14ac:dyDescent="0.35">
      <c r="A1885" s="1">
        <v>56</v>
      </c>
      <c r="B1885" s="5">
        <v>15.32</v>
      </c>
      <c r="C1885" s="5">
        <v>19.16</v>
      </c>
      <c r="D1885" s="5">
        <v>22.87</v>
      </c>
      <c r="E1885" s="5">
        <v>28.01</v>
      </c>
      <c r="F1885" s="5">
        <v>34.880000000000003</v>
      </c>
      <c r="G1885" s="5">
        <v>42.06</v>
      </c>
      <c r="H1885" s="5">
        <v>48.26</v>
      </c>
      <c r="I1885" s="5">
        <v>105.83</v>
      </c>
      <c r="J1885" s="5">
        <v>105.83</v>
      </c>
      <c r="K1885" s="5">
        <v>105.83</v>
      </c>
      <c r="L1885" s="5">
        <v>105.83</v>
      </c>
      <c r="M1885" s="5">
        <v>105.83</v>
      </c>
    </row>
    <row r="1886" spans="1:13" ht="15" customHeight="1" x14ac:dyDescent="0.35">
      <c r="A1886" s="1">
        <v>57</v>
      </c>
      <c r="B1886" s="5">
        <v>15.6</v>
      </c>
      <c r="C1886" s="5">
        <v>19.260000000000002</v>
      </c>
      <c r="D1886" s="5">
        <v>22.87</v>
      </c>
      <c r="E1886" s="5">
        <v>28.85</v>
      </c>
      <c r="F1886" s="5">
        <v>34.9</v>
      </c>
      <c r="G1886" s="5">
        <v>42.06</v>
      </c>
      <c r="H1886" s="5">
        <v>49.17</v>
      </c>
      <c r="I1886" s="5">
        <v>107.16</v>
      </c>
      <c r="J1886" s="5">
        <v>107.16</v>
      </c>
      <c r="K1886" s="5">
        <v>107.16</v>
      </c>
      <c r="L1886" s="5">
        <v>107.16</v>
      </c>
      <c r="M1886" s="5">
        <v>107.16</v>
      </c>
    </row>
    <row r="1887" spans="1:13" ht="15" customHeight="1" x14ac:dyDescent="0.35">
      <c r="A1887" s="1">
        <v>58</v>
      </c>
      <c r="B1887" s="5">
        <v>15.61</v>
      </c>
      <c r="C1887" s="5">
        <v>19.27</v>
      </c>
      <c r="D1887" s="5">
        <v>22.88</v>
      </c>
      <c r="E1887" s="5">
        <v>28.86</v>
      </c>
      <c r="F1887" s="5">
        <v>34.9</v>
      </c>
      <c r="G1887" s="5">
        <v>42.07</v>
      </c>
      <c r="H1887" s="5">
        <v>49.18</v>
      </c>
      <c r="I1887" s="5">
        <v>108.23</v>
      </c>
      <c r="J1887" s="5">
        <v>108.23</v>
      </c>
      <c r="K1887" s="5">
        <v>108.23</v>
      </c>
      <c r="L1887" s="5">
        <v>108.23</v>
      </c>
      <c r="M1887" s="5">
        <v>108.23</v>
      </c>
    </row>
    <row r="1888" spans="1:13" ht="15" customHeight="1" x14ac:dyDescent="0.35">
      <c r="A1888" s="1">
        <v>59</v>
      </c>
      <c r="B1888" s="5">
        <v>15.61</v>
      </c>
      <c r="C1888" s="5">
        <v>19.29</v>
      </c>
      <c r="D1888" s="5">
        <v>23.04</v>
      </c>
      <c r="E1888" s="5">
        <v>28.87</v>
      </c>
      <c r="F1888" s="5">
        <v>35.14</v>
      </c>
      <c r="G1888" s="5">
        <v>42.07</v>
      </c>
      <c r="H1888" s="5">
        <v>50</v>
      </c>
      <c r="I1888" s="5">
        <v>109.03</v>
      </c>
      <c r="J1888" s="5">
        <v>109.03</v>
      </c>
      <c r="K1888" s="5">
        <v>109.03</v>
      </c>
      <c r="L1888" s="5">
        <v>109.03</v>
      </c>
      <c r="M1888" s="5">
        <v>109.03</v>
      </c>
    </row>
    <row r="1889" spans="1:13" ht="15" customHeight="1" x14ac:dyDescent="0.35">
      <c r="A1889" s="1">
        <v>60</v>
      </c>
      <c r="B1889" s="5">
        <v>16.05</v>
      </c>
      <c r="C1889" s="5">
        <v>20.03</v>
      </c>
      <c r="D1889" s="5">
        <v>23.43</v>
      </c>
      <c r="E1889" s="5">
        <v>29.89</v>
      </c>
      <c r="F1889" s="5">
        <v>35.799999999999997</v>
      </c>
      <c r="G1889" s="5">
        <v>42.22</v>
      </c>
      <c r="H1889" s="5">
        <v>50.3</v>
      </c>
      <c r="I1889" s="5">
        <v>109.68</v>
      </c>
      <c r="J1889" s="5">
        <v>109.68</v>
      </c>
      <c r="K1889" s="5">
        <v>109.68</v>
      </c>
      <c r="L1889" s="5">
        <v>109.68</v>
      </c>
      <c r="M1889" s="5">
        <v>109.68</v>
      </c>
    </row>
    <row r="1890" spans="1:13" ht="15" customHeight="1" x14ac:dyDescent="0.35">
      <c r="A1890" s="1">
        <v>61</v>
      </c>
      <c r="B1890" s="5">
        <v>16.059999999999999</v>
      </c>
      <c r="C1890" s="5">
        <v>20.079999999999998</v>
      </c>
      <c r="D1890" s="5">
        <v>23.66</v>
      </c>
      <c r="E1890" s="5">
        <v>29.9</v>
      </c>
      <c r="F1890" s="5">
        <v>35.799999999999997</v>
      </c>
      <c r="G1890" s="5">
        <v>42.23</v>
      </c>
      <c r="H1890" s="5">
        <v>50.31</v>
      </c>
      <c r="I1890" s="5">
        <v>110.34</v>
      </c>
      <c r="J1890" s="5">
        <v>110.34</v>
      </c>
      <c r="K1890" s="5">
        <v>110.34</v>
      </c>
      <c r="L1890" s="5">
        <v>110.34</v>
      </c>
      <c r="M1890" s="5">
        <v>110.34</v>
      </c>
    </row>
    <row r="1891" spans="1:13" ht="15" customHeight="1" x14ac:dyDescent="0.35">
      <c r="A1891" s="1">
        <v>62</v>
      </c>
      <c r="B1891" s="5">
        <v>16.72</v>
      </c>
      <c r="C1891" s="5">
        <v>21.51</v>
      </c>
      <c r="D1891" s="5">
        <v>24.05</v>
      </c>
      <c r="E1891" s="5">
        <v>30.58</v>
      </c>
      <c r="F1891" s="5">
        <v>36.35</v>
      </c>
      <c r="G1891" s="5">
        <v>42.88</v>
      </c>
      <c r="H1891" s="5">
        <v>51.4</v>
      </c>
      <c r="I1891" s="5">
        <v>111.04</v>
      </c>
      <c r="J1891" s="5">
        <v>111.04</v>
      </c>
      <c r="K1891" s="5">
        <v>111.04</v>
      </c>
      <c r="L1891" s="5">
        <v>111.04</v>
      </c>
      <c r="M1891" s="5">
        <v>111.04</v>
      </c>
    </row>
    <row r="1892" spans="1:13" ht="15" customHeight="1" x14ac:dyDescent="0.35">
      <c r="A1892" s="1">
        <v>63</v>
      </c>
      <c r="B1892" s="5">
        <v>16.73</v>
      </c>
      <c r="C1892" s="5">
        <v>21.52</v>
      </c>
      <c r="D1892" s="5">
        <v>24.28</v>
      </c>
      <c r="E1892" s="5">
        <v>30.59</v>
      </c>
      <c r="F1892" s="5">
        <v>36.61</v>
      </c>
      <c r="G1892" s="5">
        <v>43.23</v>
      </c>
      <c r="H1892" s="5">
        <v>51.4</v>
      </c>
      <c r="I1892" s="5">
        <v>111.69</v>
      </c>
      <c r="J1892" s="5">
        <v>111.69</v>
      </c>
      <c r="K1892" s="5">
        <v>111.69</v>
      </c>
      <c r="L1892" s="5">
        <v>111.69</v>
      </c>
      <c r="M1892" s="5">
        <v>111.69</v>
      </c>
    </row>
    <row r="1893" spans="1:13" ht="15" customHeight="1" x14ac:dyDescent="0.35">
      <c r="A1893" s="1">
        <v>64</v>
      </c>
      <c r="B1893" s="5">
        <v>17.170000000000002</v>
      </c>
      <c r="C1893" s="5">
        <v>21.53</v>
      </c>
      <c r="D1893" s="5">
        <v>24.49</v>
      </c>
      <c r="E1893" s="5">
        <v>30.6</v>
      </c>
      <c r="F1893" s="5">
        <v>36.86</v>
      </c>
      <c r="G1893" s="5">
        <v>43.24</v>
      </c>
      <c r="H1893" s="5">
        <v>51.62</v>
      </c>
      <c r="I1893" s="5">
        <v>112.34</v>
      </c>
      <c r="J1893" s="5">
        <v>112.34</v>
      </c>
      <c r="K1893" s="5">
        <v>112.34</v>
      </c>
      <c r="L1893" s="5">
        <v>112.34</v>
      </c>
      <c r="M1893" s="5">
        <v>112.34</v>
      </c>
    </row>
    <row r="1894" spans="1:13" ht="15" customHeight="1" x14ac:dyDescent="0.35">
      <c r="A1894" s="1">
        <v>65</v>
      </c>
      <c r="B1894" s="5">
        <v>17.36</v>
      </c>
      <c r="C1894" s="5">
        <v>21.9</v>
      </c>
      <c r="D1894" s="5">
        <v>24.5</v>
      </c>
      <c r="E1894" s="5">
        <v>30.6</v>
      </c>
      <c r="F1894" s="5">
        <v>37.19</v>
      </c>
      <c r="G1894" s="5">
        <v>43.34</v>
      </c>
      <c r="H1894" s="5">
        <v>51.63</v>
      </c>
      <c r="I1894" s="5">
        <v>113.02</v>
      </c>
      <c r="J1894" s="5">
        <v>113.02</v>
      </c>
      <c r="K1894" s="5">
        <v>113.02</v>
      </c>
      <c r="L1894" s="5">
        <v>113.02</v>
      </c>
      <c r="M1894" s="5">
        <v>113.02</v>
      </c>
    </row>
    <row r="1895" spans="1:13" ht="15" customHeight="1" x14ac:dyDescent="0.35">
      <c r="A1895" s="1">
        <v>66</v>
      </c>
      <c r="B1895" s="5">
        <v>17.440000000000001</v>
      </c>
      <c r="C1895" s="5">
        <v>22.32</v>
      </c>
      <c r="D1895" s="5">
        <v>24.69</v>
      </c>
      <c r="E1895" s="5">
        <v>30.84</v>
      </c>
      <c r="F1895" s="5">
        <v>37.21</v>
      </c>
      <c r="G1895" s="5">
        <v>43.48</v>
      </c>
      <c r="H1895" s="5">
        <v>52.33</v>
      </c>
      <c r="I1895" s="5">
        <v>113.85</v>
      </c>
      <c r="J1895" s="5">
        <v>113.85</v>
      </c>
      <c r="K1895" s="5">
        <v>113.85</v>
      </c>
      <c r="L1895" s="5">
        <v>113.85</v>
      </c>
      <c r="M1895" s="5">
        <v>113.85</v>
      </c>
    </row>
    <row r="1896" spans="1:13" ht="15" customHeight="1" x14ac:dyDescent="0.35">
      <c r="A1896" s="1">
        <v>67</v>
      </c>
      <c r="B1896" s="5">
        <v>17.45</v>
      </c>
      <c r="C1896" s="5">
        <v>22.33</v>
      </c>
      <c r="D1896" s="5">
        <v>24.7</v>
      </c>
      <c r="E1896" s="5">
        <v>30.9</v>
      </c>
      <c r="F1896" s="5">
        <v>37.5</v>
      </c>
      <c r="G1896" s="5">
        <v>43.69</v>
      </c>
      <c r="H1896" s="5">
        <v>52.34</v>
      </c>
      <c r="I1896" s="5">
        <v>114.15</v>
      </c>
      <c r="J1896" s="5">
        <v>114.15</v>
      </c>
      <c r="K1896" s="5">
        <v>114.15</v>
      </c>
      <c r="L1896" s="5">
        <v>114.15</v>
      </c>
      <c r="M1896" s="5">
        <v>114.15</v>
      </c>
    </row>
    <row r="1897" spans="1:13" ht="15" customHeight="1" x14ac:dyDescent="0.35">
      <c r="A1897" s="1">
        <v>68</v>
      </c>
      <c r="B1897" s="5">
        <v>17.64</v>
      </c>
      <c r="C1897" s="5">
        <v>22.74</v>
      </c>
      <c r="D1897" s="5">
        <v>26.19</v>
      </c>
      <c r="E1897" s="5">
        <v>31.6</v>
      </c>
      <c r="F1897" s="5">
        <v>38.049999999999997</v>
      </c>
      <c r="G1897" s="5">
        <v>44.35</v>
      </c>
      <c r="H1897" s="5">
        <v>52.34</v>
      </c>
      <c r="I1897" s="5">
        <v>114.39</v>
      </c>
      <c r="J1897" s="5">
        <v>114.39</v>
      </c>
      <c r="K1897" s="5">
        <v>114.39</v>
      </c>
      <c r="L1897" s="5">
        <v>114.39</v>
      </c>
      <c r="M1897" s="5">
        <v>114.39</v>
      </c>
    </row>
    <row r="1898" spans="1:13" ht="15" customHeight="1" x14ac:dyDescent="0.35">
      <c r="A1898" s="1">
        <v>69</v>
      </c>
      <c r="B1898" s="5">
        <v>18.010000000000002</v>
      </c>
      <c r="C1898" s="5">
        <v>22.96</v>
      </c>
      <c r="D1898" s="5">
        <v>26.45</v>
      </c>
      <c r="E1898" s="5">
        <v>31.82</v>
      </c>
      <c r="F1898" s="5">
        <v>38.619999999999997</v>
      </c>
      <c r="G1898" s="5">
        <v>44.35</v>
      </c>
      <c r="H1898" s="5">
        <v>53.06</v>
      </c>
      <c r="I1898" s="5">
        <v>114.71</v>
      </c>
      <c r="J1898" s="5">
        <v>114.71</v>
      </c>
      <c r="K1898" s="5">
        <v>114.71</v>
      </c>
      <c r="L1898" s="5">
        <v>114.71</v>
      </c>
      <c r="M1898" s="5">
        <v>114.71</v>
      </c>
    </row>
    <row r="1899" spans="1:13" ht="15" customHeight="1" x14ac:dyDescent="0.35">
      <c r="A1899" s="1">
        <v>70</v>
      </c>
      <c r="B1899" s="5">
        <v>18.02</v>
      </c>
      <c r="C1899" s="5">
        <v>23.28</v>
      </c>
      <c r="D1899" s="5">
        <v>26.82</v>
      </c>
      <c r="E1899" s="5">
        <v>33.11</v>
      </c>
      <c r="F1899" s="5">
        <v>39.020000000000003</v>
      </c>
      <c r="G1899" s="5">
        <v>44.36</v>
      </c>
      <c r="H1899" s="5">
        <v>53.07</v>
      </c>
      <c r="I1899" s="5">
        <v>114.98</v>
      </c>
      <c r="J1899" s="5">
        <v>114.98</v>
      </c>
      <c r="K1899" s="5">
        <v>114.98</v>
      </c>
      <c r="L1899" s="5">
        <v>114.98</v>
      </c>
      <c r="M1899" s="5">
        <v>114.98</v>
      </c>
    </row>
    <row r="1900" spans="1:13" ht="15" customHeight="1" x14ac:dyDescent="0.35">
      <c r="A1900" s="1">
        <v>71</v>
      </c>
      <c r="B1900" s="5">
        <v>20.65</v>
      </c>
      <c r="C1900" s="5">
        <v>26.73</v>
      </c>
      <c r="D1900" s="5">
        <v>30.98</v>
      </c>
      <c r="E1900" s="5">
        <v>37.97</v>
      </c>
      <c r="F1900" s="5">
        <v>44.95</v>
      </c>
      <c r="G1900" s="5">
        <v>51.03</v>
      </c>
      <c r="H1900" s="5">
        <v>61.05</v>
      </c>
      <c r="I1900" s="5">
        <v>160.97999999999999</v>
      </c>
      <c r="J1900" s="5">
        <v>160.97999999999999</v>
      </c>
      <c r="K1900" s="5">
        <v>160.97999999999999</v>
      </c>
      <c r="L1900" s="5">
        <v>160.97999999999999</v>
      </c>
      <c r="M1900" s="5">
        <v>160.97999999999999</v>
      </c>
    </row>
    <row r="1901" spans="1:13" ht="15" customHeight="1" x14ac:dyDescent="0.3">
      <c r="A1901" s="1" t="s">
        <v>35</v>
      </c>
    </row>
    <row r="1904" spans="1:13" ht="15" customHeight="1" x14ac:dyDescent="0.3">
      <c r="A1904" s="7" t="s">
        <v>0</v>
      </c>
      <c r="B1904" s="7"/>
      <c r="C1904" s="7"/>
      <c r="D1904" s="7"/>
      <c r="E1904" s="7"/>
    </row>
    <row r="1905" spans="1:13" ht="15" customHeight="1" x14ac:dyDescent="0.35">
      <c r="A1905" s="8" t="s">
        <v>157</v>
      </c>
      <c r="B1905" s="8"/>
      <c r="C1905" s="8"/>
      <c r="D1905" s="8"/>
      <c r="E1905" s="8"/>
      <c r="F1905" s="8"/>
      <c r="G1905" s="8"/>
      <c r="H1905" s="7" t="s">
        <v>25</v>
      </c>
      <c r="I1905" s="7"/>
      <c r="J1905" s="7"/>
      <c r="K1905" s="7"/>
    </row>
    <row r="1909" spans="1:13" ht="15" customHeight="1" x14ac:dyDescent="0.3">
      <c r="A1909" s="1" t="s">
        <v>26</v>
      </c>
    </row>
    <row r="1910" spans="1:13" ht="15" customHeight="1" x14ac:dyDescent="0.3">
      <c r="A1910" s="1" t="s">
        <v>0</v>
      </c>
    </row>
    <row r="1911" spans="1:13" ht="15" customHeight="1" x14ac:dyDescent="0.3">
      <c r="A1911" s="1" t="s">
        <v>0</v>
      </c>
    </row>
    <row r="1912" spans="1:13" ht="15" customHeight="1" x14ac:dyDescent="0.3">
      <c r="A1912" s="1" t="s">
        <v>27</v>
      </c>
      <c r="B1912" s="1" t="s">
        <v>28</v>
      </c>
    </row>
    <row r="1913" spans="1:13" ht="15" customHeight="1" x14ac:dyDescent="0.35">
      <c r="A1913" s="1" t="s">
        <v>158</v>
      </c>
      <c r="B1913" s="3">
        <v>0.01</v>
      </c>
    </row>
    <row r="1915" spans="1:13" ht="15" customHeight="1" x14ac:dyDescent="0.3">
      <c r="A1915" s="1" t="s">
        <v>60</v>
      </c>
    </row>
    <row r="1916" spans="1:13" ht="15" customHeight="1" x14ac:dyDescent="0.3">
      <c r="A1916" s="1" t="s">
        <v>61</v>
      </c>
      <c r="B1916" s="1" t="s">
        <v>156</v>
      </c>
    </row>
    <row r="1917" spans="1:13" ht="15" customHeight="1" x14ac:dyDescent="0.3">
      <c r="A1917" s="1" t="s">
        <v>0</v>
      </c>
    </row>
    <row r="1918" spans="1:13" ht="15" customHeight="1" x14ac:dyDescent="0.35">
      <c r="A1918" s="2" t="s">
        <v>32</v>
      </c>
      <c r="B1918" s="8" t="s">
        <v>33</v>
      </c>
      <c r="C1918" s="8"/>
    </row>
    <row r="1919" spans="1:13" ht="15" customHeight="1" x14ac:dyDescent="0.35">
      <c r="A1919" s="2" t="s">
        <v>159</v>
      </c>
      <c r="B1919" s="2">
        <v>2</v>
      </c>
      <c r="C1919" s="2">
        <v>3</v>
      </c>
      <c r="D1919" s="2">
        <v>4</v>
      </c>
      <c r="E1919" s="2">
        <v>5</v>
      </c>
      <c r="F1919" s="2">
        <v>6</v>
      </c>
      <c r="G1919" s="2">
        <v>7</v>
      </c>
      <c r="H1919" s="2">
        <v>8</v>
      </c>
      <c r="I1919" s="2">
        <v>9</v>
      </c>
      <c r="J1919" s="2">
        <v>10</v>
      </c>
      <c r="K1919" s="2">
        <v>17</v>
      </c>
      <c r="L1919" s="2">
        <v>26</v>
      </c>
      <c r="M1919" s="2">
        <v>99</v>
      </c>
    </row>
    <row r="1920" spans="1:13" ht="15" customHeight="1" x14ac:dyDescent="0.3">
      <c r="A1920" s="1" t="s">
        <v>0</v>
      </c>
    </row>
    <row r="1921" spans="1:13" ht="15" customHeight="1" x14ac:dyDescent="0.35">
      <c r="A1921" s="1">
        <v>1</v>
      </c>
      <c r="B1921" s="4">
        <v>7.67</v>
      </c>
      <c r="C1921" s="4">
        <v>7.67</v>
      </c>
      <c r="D1921" s="4">
        <v>7.67</v>
      </c>
      <c r="E1921" s="4">
        <v>7.67</v>
      </c>
      <c r="F1921" s="4">
        <v>7.67</v>
      </c>
      <c r="G1921" s="4">
        <v>7.67</v>
      </c>
      <c r="H1921" s="4">
        <v>7.67</v>
      </c>
      <c r="I1921" s="4">
        <v>17.22</v>
      </c>
      <c r="J1921" s="4">
        <v>17.22</v>
      </c>
      <c r="K1921" s="4">
        <v>17.22</v>
      </c>
      <c r="L1921" s="4">
        <v>17.22</v>
      </c>
      <c r="M1921" s="4">
        <v>17.22</v>
      </c>
    </row>
    <row r="1922" spans="1:13" ht="15" customHeight="1" x14ac:dyDescent="0.35">
      <c r="A1922" s="1">
        <v>2</v>
      </c>
      <c r="B1922" s="4">
        <v>7.67</v>
      </c>
      <c r="C1922" s="4">
        <v>7.67</v>
      </c>
      <c r="D1922" s="4">
        <v>7.67</v>
      </c>
      <c r="E1922" s="4">
        <v>7.67</v>
      </c>
      <c r="F1922" s="4">
        <v>7.67</v>
      </c>
      <c r="G1922" s="4">
        <v>7.67</v>
      </c>
      <c r="H1922" s="4">
        <v>7.67</v>
      </c>
      <c r="I1922" s="4">
        <v>17.22</v>
      </c>
      <c r="J1922" s="4">
        <v>17.22</v>
      </c>
      <c r="K1922" s="4">
        <v>17.22</v>
      </c>
      <c r="L1922" s="4">
        <v>17.22</v>
      </c>
      <c r="M1922" s="4">
        <v>17.22</v>
      </c>
    </row>
    <row r="1923" spans="1:13" ht="15" customHeight="1" x14ac:dyDescent="0.35">
      <c r="A1923" s="1">
        <v>3</v>
      </c>
      <c r="B1923" s="4">
        <v>7.67</v>
      </c>
      <c r="C1923" s="4">
        <v>7.67</v>
      </c>
      <c r="D1923" s="4">
        <v>7.67</v>
      </c>
      <c r="E1923" s="4">
        <v>7.67</v>
      </c>
      <c r="F1923" s="4">
        <v>7.67</v>
      </c>
      <c r="G1923" s="4">
        <v>7.67</v>
      </c>
      <c r="H1923" s="4">
        <v>7.67</v>
      </c>
      <c r="I1923" s="4">
        <v>17.22</v>
      </c>
      <c r="J1923" s="4">
        <v>17.22</v>
      </c>
      <c r="K1923" s="4">
        <v>17.22</v>
      </c>
      <c r="L1923" s="4">
        <v>17.22</v>
      </c>
      <c r="M1923" s="4">
        <v>17.22</v>
      </c>
    </row>
    <row r="1924" spans="1:13" ht="15" customHeight="1" x14ac:dyDescent="0.35">
      <c r="A1924" s="1">
        <v>4</v>
      </c>
      <c r="B1924" s="4">
        <v>7.67</v>
      </c>
      <c r="C1924" s="4">
        <v>7.67</v>
      </c>
      <c r="D1924" s="4">
        <v>7.67</v>
      </c>
      <c r="E1924" s="4">
        <v>7.67</v>
      </c>
      <c r="F1924" s="4">
        <v>7.67</v>
      </c>
      <c r="G1924" s="4">
        <v>7.67</v>
      </c>
      <c r="H1924" s="4">
        <v>7.67</v>
      </c>
      <c r="I1924" s="4">
        <v>17.22</v>
      </c>
      <c r="J1924" s="4">
        <v>17.22</v>
      </c>
      <c r="K1924" s="4">
        <v>17.22</v>
      </c>
      <c r="L1924" s="4">
        <v>17.22</v>
      </c>
      <c r="M1924" s="4">
        <v>17.22</v>
      </c>
    </row>
    <row r="1925" spans="1:13" ht="15" customHeight="1" x14ac:dyDescent="0.35">
      <c r="A1925" s="1">
        <v>5</v>
      </c>
      <c r="B1925" s="4">
        <v>7.67</v>
      </c>
      <c r="C1925" s="4">
        <v>7.67</v>
      </c>
      <c r="D1925" s="4">
        <v>7.67</v>
      </c>
      <c r="E1925" s="4">
        <v>7.67</v>
      </c>
      <c r="F1925" s="4">
        <v>7.67</v>
      </c>
      <c r="G1925" s="4">
        <v>7.67</v>
      </c>
      <c r="H1925" s="4">
        <v>7.67</v>
      </c>
      <c r="I1925" s="4">
        <v>17.22</v>
      </c>
      <c r="J1925" s="4">
        <v>17.22</v>
      </c>
      <c r="K1925" s="4">
        <v>17.22</v>
      </c>
      <c r="L1925" s="4">
        <v>17.22</v>
      </c>
      <c r="M1925" s="4">
        <v>17.22</v>
      </c>
    </row>
    <row r="1926" spans="1:13" ht="15" customHeight="1" x14ac:dyDescent="0.35">
      <c r="A1926" s="1">
        <v>6</v>
      </c>
      <c r="B1926" s="4">
        <v>7.67</v>
      </c>
      <c r="C1926" s="4">
        <v>7.67</v>
      </c>
      <c r="D1926" s="4">
        <v>7.67</v>
      </c>
      <c r="E1926" s="4">
        <v>7.67</v>
      </c>
      <c r="F1926" s="4">
        <v>7.67</v>
      </c>
      <c r="G1926" s="4">
        <v>7.67</v>
      </c>
      <c r="H1926" s="4">
        <v>7.67</v>
      </c>
      <c r="I1926" s="4">
        <v>17.22</v>
      </c>
      <c r="J1926" s="4">
        <v>17.22</v>
      </c>
      <c r="K1926" s="4">
        <v>17.22</v>
      </c>
      <c r="L1926" s="4">
        <v>17.22</v>
      </c>
      <c r="M1926" s="4">
        <v>17.22</v>
      </c>
    </row>
    <row r="1927" spans="1:13" ht="15" customHeight="1" x14ac:dyDescent="0.35">
      <c r="A1927" s="1">
        <v>7</v>
      </c>
      <c r="B1927" s="4">
        <v>7.67</v>
      </c>
      <c r="C1927" s="4">
        <v>7.67</v>
      </c>
      <c r="D1927" s="4">
        <v>7.67</v>
      </c>
      <c r="E1927" s="4">
        <v>7.67</v>
      </c>
      <c r="F1927" s="4">
        <v>7.67</v>
      </c>
      <c r="G1927" s="4">
        <v>7.67</v>
      </c>
      <c r="H1927" s="4">
        <v>7.67</v>
      </c>
      <c r="I1927" s="4">
        <v>17.22</v>
      </c>
      <c r="J1927" s="4">
        <v>17.22</v>
      </c>
      <c r="K1927" s="4">
        <v>17.22</v>
      </c>
      <c r="L1927" s="4">
        <v>17.22</v>
      </c>
      <c r="M1927" s="4">
        <v>17.22</v>
      </c>
    </row>
    <row r="1928" spans="1:13" ht="15" customHeight="1" x14ac:dyDescent="0.35">
      <c r="A1928" s="1">
        <v>8</v>
      </c>
      <c r="B1928" s="4">
        <v>7.67</v>
      </c>
      <c r="C1928" s="4">
        <v>7.67</v>
      </c>
      <c r="D1928" s="4">
        <v>7.67</v>
      </c>
      <c r="E1928" s="4">
        <v>7.67</v>
      </c>
      <c r="F1928" s="4">
        <v>7.67</v>
      </c>
      <c r="G1928" s="4">
        <v>7.67</v>
      </c>
      <c r="H1928" s="4">
        <v>7.67</v>
      </c>
      <c r="I1928" s="4">
        <v>17.22</v>
      </c>
      <c r="J1928" s="4">
        <v>17.22</v>
      </c>
      <c r="K1928" s="4">
        <v>17.22</v>
      </c>
      <c r="L1928" s="4">
        <v>17.22</v>
      </c>
      <c r="M1928" s="4">
        <v>17.22</v>
      </c>
    </row>
    <row r="1929" spans="1:13" ht="15" customHeight="1" x14ac:dyDescent="0.35">
      <c r="A1929" s="1">
        <v>9</v>
      </c>
      <c r="B1929" s="4">
        <v>7.67</v>
      </c>
      <c r="C1929" s="4">
        <v>7.67</v>
      </c>
      <c r="D1929" s="4">
        <v>7.67</v>
      </c>
      <c r="E1929" s="4">
        <v>7.67</v>
      </c>
      <c r="F1929" s="4">
        <v>7.67</v>
      </c>
      <c r="G1929" s="4">
        <v>7.67</v>
      </c>
      <c r="H1929" s="4">
        <v>7.67</v>
      </c>
      <c r="I1929" s="4">
        <v>17.22</v>
      </c>
      <c r="J1929" s="4">
        <v>17.22</v>
      </c>
      <c r="K1929" s="4">
        <v>17.22</v>
      </c>
      <c r="L1929" s="4">
        <v>17.22</v>
      </c>
      <c r="M1929" s="4">
        <v>17.22</v>
      </c>
    </row>
    <row r="1930" spans="1:13" ht="15" customHeight="1" x14ac:dyDescent="0.35">
      <c r="A1930" s="1">
        <v>10</v>
      </c>
      <c r="B1930" s="4">
        <v>7.67</v>
      </c>
      <c r="C1930" s="4">
        <v>7.67</v>
      </c>
      <c r="D1930" s="4">
        <v>7.67</v>
      </c>
      <c r="E1930" s="4">
        <v>7.67</v>
      </c>
      <c r="F1930" s="4">
        <v>7.67</v>
      </c>
      <c r="G1930" s="4">
        <v>7.67</v>
      </c>
      <c r="H1930" s="4">
        <v>7.67</v>
      </c>
      <c r="I1930" s="4">
        <v>17.22</v>
      </c>
      <c r="J1930" s="4">
        <v>17.22</v>
      </c>
      <c r="K1930" s="4">
        <v>17.22</v>
      </c>
      <c r="L1930" s="4">
        <v>17.22</v>
      </c>
      <c r="M1930" s="4">
        <v>17.22</v>
      </c>
    </row>
    <row r="1931" spans="1:13" ht="15" customHeight="1" x14ac:dyDescent="0.35">
      <c r="A1931" s="1">
        <v>11</v>
      </c>
      <c r="B1931" s="4">
        <v>7.67</v>
      </c>
      <c r="C1931" s="4">
        <v>7.67</v>
      </c>
      <c r="D1931" s="4">
        <v>7.67</v>
      </c>
      <c r="E1931" s="4">
        <v>7.67</v>
      </c>
      <c r="F1931" s="4">
        <v>7.67</v>
      </c>
      <c r="G1931" s="4">
        <v>7.67</v>
      </c>
      <c r="H1931" s="4">
        <v>7.67</v>
      </c>
      <c r="I1931" s="4">
        <v>17.22</v>
      </c>
      <c r="J1931" s="4">
        <v>17.22</v>
      </c>
      <c r="K1931" s="4">
        <v>17.22</v>
      </c>
      <c r="L1931" s="4">
        <v>17.22</v>
      </c>
      <c r="M1931" s="4">
        <v>17.22</v>
      </c>
    </row>
    <row r="1932" spans="1:13" ht="15" customHeight="1" x14ac:dyDescent="0.35">
      <c r="A1932" s="1">
        <v>12</v>
      </c>
      <c r="B1932" s="4">
        <v>7.67</v>
      </c>
      <c r="C1932" s="4">
        <v>7.67</v>
      </c>
      <c r="D1932" s="4">
        <v>7.67</v>
      </c>
      <c r="E1932" s="4">
        <v>7.67</v>
      </c>
      <c r="F1932" s="4">
        <v>7.67</v>
      </c>
      <c r="G1932" s="4">
        <v>7.67</v>
      </c>
      <c r="H1932" s="4">
        <v>7.67</v>
      </c>
      <c r="I1932" s="4">
        <v>17.22</v>
      </c>
      <c r="J1932" s="4">
        <v>17.22</v>
      </c>
      <c r="K1932" s="4">
        <v>17.22</v>
      </c>
      <c r="L1932" s="4">
        <v>17.22</v>
      </c>
      <c r="M1932" s="4">
        <v>17.22</v>
      </c>
    </row>
    <row r="1933" spans="1:13" ht="15" customHeight="1" x14ac:dyDescent="0.35">
      <c r="A1933" s="1">
        <v>13</v>
      </c>
      <c r="B1933" s="4">
        <v>7.67</v>
      </c>
      <c r="C1933" s="4">
        <v>7.67</v>
      </c>
      <c r="D1933" s="4">
        <v>7.67</v>
      </c>
      <c r="E1933" s="4">
        <v>7.67</v>
      </c>
      <c r="F1933" s="4">
        <v>7.67</v>
      </c>
      <c r="G1933" s="4">
        <v>7.67</v>
      </c>
      <c r="H1933" s="4">
        <v>7.67</v>
      </c>
      <c r="I1933" s="4">
        <v>17.22</v>
      </c>
      <c r="J1933" s="4">
        <v>17.22</v>
      </c>
      <c r="K1933" s="4">
        <v>17.22</v>
      </c>
      <c r="L1933" s="4">
        <v>17.22</v>
      </c>
      <c r="M1933" s="4">
        <v>17.22</v>
      </c>
    </row>
    <row r="1934" spans="1:13" ht="15" customHeight="1" x14ac:dyDescent="0.35">
      <c r="A1934" s="1">
        <v>14</v>
      </c>
      <c r="B1934" s="4">
        <v>7.67</v>
      </c>
      <c r="C1934" s="4">
        <v>7.67</v>
      </c>
      <c r="D1934" s="4">
        <v>7.67</v>
      </c>
      <c r="E1934" s="4">
        <v>7.67</v>
      </c>
      <c r="F1934" s="4">
        <v>7.67</v>
      </c>
      <c r="G1934" s="4">
        <v>7.67</v>
      </c>
      <c r="H1934" s="4">
        <v>7.67</v>
      </c>
      <c r="I1934" s="4">
        <v>17.22</v>
      </c>
      <c r="J1934" s="4">
        <v>17.22</v>
      </c>
      <c r="K1934" s="4">
        <v>17.22</v>
      </c>
      <c r="L1934" s="4">
        <v>17.22</v>
      </c>
      <c r="M1934" s="4">
        <v>17.22</v>
      </c>
    </row>
    <row r="1935" spans="1:13" ht="15" customHeight="1" x14ac:dyDescent="0.35">
      <c r="A1935" s="1">
        <v>15</v>
      </c>
      <c r="B1935" s="4">
        <v>7.67</v>
      </c>
      <c r="C1935" s="4">
        <v>7.67</v>
      </c>
      <c r="D1935" s="4">
        <v>7.67</v>
      </c>
      <c r="E1935" s="4">
        <v>7.67</v>
      </c>
      <c r="F1935" s="4">
        <v>7.67</v>
      </c>
      <c r="G1935" s="4">
        <v>7.67</v>
      </c>
      <c r="H1935" s="4">
        <v>7.67</v>
      </c>
      <c r="I1935" s="4">
        <v>17.22</v>
      </c>
      <c r="J1935" s="4">
        <v>17.22</v>
      </c>
      <c r="K1935" s="4">
        <v>17.22</v>
      </c>
      <c r="L1935" s="4">
        <v>17.22</v>
      </c>
      <c r="M1935" s="4">
        <v>17.22</v>
      </c>
    </row>
    <row r="1936" spans="1:13" ht="15" customHeight="1" x14ac:dyDescent="0.35">
      <c r="A1936" s="1">
        <v>16</v>
      </c>
      <c r="B1936" s="4">
        <v>7.67</v>
      </c>
      <c r="C1936" s="4">
        <v>7.67</v>
      </c>
      <c r="D1936" s="4">
        <v>7.67</v>
      </c>
      <c r="E1936" s="4">
        <v>7.67</v>
      </c>
      <c r="F1936" s="4">
        <v>7.67</v>
      </c>
      <c r="G1936" s="4">
        <v>7.67</v>
      </c>
      <c r="H1936" s="4">
        <v>7.67</v>
      </c>
      <c r="I1936" s="4">
        <v>17.22</v>
      </c>
      <c r="J1936" s="4">
        <v>17.22</v>
      </c>
      <c r="K1936" s="4">
        <v>17.22</v>
      </c>
      <c r="L1936" s="4">
        <v>17.22</v>
      </c>
      <c r="M1936" s="4">
        <v>17.22</v>
      </c>
    </row>
    <row r="1937" spans="1:3" ht="15" customHeight="1" x14ac:dyDescent="0.3">
      <c r="A1937" s="1" t="s">
        <v>35</v>
      </c>
    </row>
    <row r="1940" spans="1:3" ht="15" customHeight="1" x14ac:dyDescent="0.3">
      <c r="A1940" s="1" t="s">
        <v>0</v>
      </c>
    </row>
    <row r="1942" spans="1:3" ht="15" customHeight="1" x14ac:dyDescent="0.3">
      <c r="A1942" s="1" t="s">
        <v>160</v>
      </c>
      <c r="B1942" s="1" t="s">
        <v>161</v>
      </c>
      <c r="C1942" s="1" t="s">
        <v>162</v>
      </c>
    </row>
    <row r="1947" spans="1:3" ht="15" customHeight="1" x14ac:dyDescent="0.35">
      <c r="A1947" s="8" t="s">
        <v>0</v>
      </c>
      <c r="B1947" s="8"/>
      <c r="C1947" s="8"/>
    </row>
  </sheetData>
  <mergeCells count="101">
    <mergeCell ref="B1918:C1918"/>
    <mergeCell ref="A1947:C1947"/>
    <mergeCell ref="A1813:E1813"/>
    <mergeCell ref="A1814:G1814"/>
    <mergeCell ref="H1814:K1814"/>
    <mergeCell ref="B1827:C1827"/>
    <mergeCell ref="A1904:E1904"/>
    <mergeCell ref="A1905:G1905"/>
    <mergeCell ref="H1905:K1905"/>
    <mergeCell ref="B1624:C1624"/>
    <mergeCell ref="A1711:E1711"/>
    <mergeCell ref="A1712:G1712"/>
    <mergeCell ref="H1712:K1712"/>
    <mergeCell ref="B1725:C1725"/>
    <mergeCell ref="A1812:D1812"/>
    <mergeCell ref="A1443:G1443"/>
    <mergeCell ref="H1443:K1443"/>
    <mergeCell ref="B1453:C1453"/>
    <mergeCell ref="A1609:D1609"/>
    <mergeCell ref="A1610:E1610"/>
    <mergeCell ref="A1611:G1611"/>
    <mergeCell ref="H1611:K1611"/>
    <mergeCell ref="B1116:C1116"/>
    <mergeCell ref="A1272:E1272"/>
    <mergeCell ref="A1273:G1273"/>
    <mergeCell ref="H1273:K1273"/>
    <mergeCell ref="B1286:C1286"/>
    <mergeCell ref="A1442:E1442"/>
    <mergeCell ref="A1094:D1094"/>
    <mergeCell ref="B1096:E1096"/>
    <mergeCell ref="A1101:D1101"/>
    <mergeCell ref="A1102:E1102"/>
    <mergeCell ref="A1103:G1103"/>
    <mergeCell ref="H1103:K1103"/>
    <mergeCell ref="A1090:D1090"/>
    <mergeCell ref="E1090:F1090"/>
    <mergeCell ref="G1090:H1090"/>
    <mergeCell ref="A1091:D1091"/>
    <mergeCell ref="A1092:D1092"/>
    <mergeCell ref="A1093:D1093"/>
    <mergeCell ref="A1035:G1035"/>
    <mergeCell ref="H1035:K1035"/>
    <mergeCell ref="A1061:E1061"/>
    <mergeCell ref="A1062:G1062"/>
    <mergeCell ref="H1062:K1062"/>
    <mergeCell ref="B1088:E1088"/>
    <mergeCell ref="A1001:G1001"/>
    <mergeCell ref="A1003:E1003"/>
    <mergeCell ref="A1007:E1007"/>
    <mergeCell ref="A1008:G1008"/>
    <mergeCell ref="H1008:K1008"/>
    <mergeCell ref="A1034:E1034"/>
    <mergeCell ref="A811:E811"/>
    <mergeCell ref="A812:G812"/>
    <mergeCell ref="H812:K812"/>
    <mergeCell ref="B824:C824"/>
    <mergeCell ref="B985:E985"/>
    <mergeCell ref="A1000:E1000"/>
    <mergeCell ref="B607:E607"/>
    <mergeCell ref="A622:E622"/>
    <mergeCell ref="A623:G623"/>
    <mergeCell ref="H623:K623"/>
    <mergeCell ref="B635:C635"/>
    <mergeCell ref="B796:E796"/>
    <mergeCell ref="B257:C257"/>
    <mergeCell ref="B418:E418"/>
    <mergeCell ref="A433:E433"/>
    <mergeCell ref="A434:G434"/>
    <mergeCell ref="H434:K434"/>
    <mergeCell ref="B446:C446"/>
    <mergeCell ref="A56:G56"/>
    <mergeCell ref="H56:K56"/>
    <mergeCell ref="B68:C68"/>
    <mergeCell ref="B229:E229"/>
    <mergeCell ref="A244:E244"/>
    <mergeCell ref="A245:G245"/>
    <mergeCell ref="H245:K245"/>
    <mergeCell ref="A42:G42"/>
    <mergeCell ref="A44:E44"/>
    <mergeCell ref="A48:E48"/>
    <mergeCell ref="A49:G49"/>
    <mergeCell ref="A51:E51"/>
    <mergeCell ref="A55:E55"/>
    <mergeCell ref="A34:D34"/>
    <mergeCell ref="A35:D35"/>
    <mergeCell ref="B37:E37"/>
    <mergeCell ref="A40:D40"/>
    <mergeCell ref="A41:E41"/>
    <mergeCell ref="A11:B11"/>
    <mergeCell ref="B29:E29"/>
    <mergeCell ref="A31:D31"/>
    <mergeCell ref="E31:F31"/>
    <mergeCell ref="G31:H31"/>
    <mergeCell ref="A32:D32"/>
    <mergeCell ref="A1:C1"/>
    <mergeCell ref="A2:D2"/>
    <mergeCell ref="A5:D5"/>
    <mergeCell ref="A7:B7"/>
    <mergeCell ref="A9:B9"/>
    <mergeCell ref="C9:D9"/>
    <mergeCell ref="A33:D33"/>
  </mergeCells>
  <pageMargins left="0.25" right="0.25" top="0.25" bottom="0.25"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94CB1-03B2-486C-95C5-8FB649ABB61B}">
  <dimension ref="A1:Y168"/>
  <sheetViews>
    <sheetView workbookViewId="0">
      <selection activeCell="B9" sqref="B9"/>
    </sheetView>
  </sheetViews>
  <sheetFormatPr defaultRowHeight="14.5" x14ac:dyDescent="0.35"/>
  <sheetData>
    <row r="1" spans="1:16" s="6" customFormat="1" ht="15" customHeight="1" x14ac:dyDescent="0.35">
      <c r="A1" s="10" t="s">
        <v>63</v>
      </c>
      <c r="B1" s="10"/>
      <c r="C1" s="10"/>
      <c r="D1" s="10"/>
      <c r="E1" s="10"/>
      <c r="F1" s="10"/>
      <c r="G1" s="10"/>
      <c r="H1" s="11" t="s">
        <v>25</v>
      </c>
      <c r="I1" s="11"/>
      <c r="J1" s="11"/>
      <c r="K1" s="11"/>
    </row>
    <row r="2" spans="1:16" s="6" customFormat="1" ht="15" customHeight="1" x14ac:dyDescent="0.3"/>
    <row r="3" spans="1:16" s="6" customFormat="1" ht="15" customHeight="1" x14ac:dyDescent="0.3"/>
    <row r="4" spans="1:16" s="1" customFormat="1" ht="15" customHeight="1" x14ac:dyDescent="0.3"/>
    <row r="5" spans="1:16" s="1" customFormat="1" ht="15" customHeight="1" x14ac:dyDescent="0.3">
      <c r="A5" s="1" t="s">
        <v>26</v>
      </c>
    </row>
    <row r="6" spans="1:16" s="1" customFormat="1" ht="15" customHeight="1" x14ac:dyDescent="0.3">
      <c r="A6" s="1" t="s">
        <v>0</v>
      </c>
    </row>
    <row r="7" spans="1:16" s="1" customFormat="1" ht="15" customHeight="1" x14ac:dyDescent="0.3">
      <c r="A7" s="1" t="s">
        <v>0</v>
      </c>
    </row>
    <row r="8" spans="1:16" s="1" customFormat="1" ht="15" customHeight="1" x14ac:dyDescent="0.3">
      <c r="A8" s="1" t="s">
        <v>27</v>
      </c>
      <c r="B8" s="1" t="s">
        <v>28</v>
      </c>
    </row>
    <row r="9" spans="1:16" s="1" customFormat="1" ht="15" customHeight="1" x14ac:dyDescent="0.35">
      <c r="A9" s="1" t="s">
        <v>64</v>
      </c>
      <c r="B9" s="3">
        <v>0.18</v>
      </c>
    </row>
    <row r="10" spans="1:16" s="1" customFormat="1" ht="15" customHeight="1" x14ac:dyDescent="0.3"/>
    <row r="11" spans="1:16" s="1" customFormat="1" ht="15" customHeight="1" x14ac:dyDescent="0.3">
      <c r="A11" s="1" t="s">
        <v>60</v>
      </c>
    </row>
    <row r="12" spans="1:16" s="1" customFormat="1" ht="15" customHeight="1" x14ac:dyDescent="0.3">
      <c r="A12" s="1" t="s">
        <v>61</v>
      </c>
      <c r="B12" s="1" t="s">
        <v>65</v>
      </c>
    </row>
    <row r="13" spans="1:16" s="1" customFormat="1" ht="15" customHeight="1" x14ac:dyDescent="0.3">
      <c r="A13" s="1" t="s">
        <v>0</v>
      </c>
    </row>
    <row r="14" spans="1:16" s="1" customFormat="1" ht="15" customHeight="1" x14ac:dyDescent="0.35">
      <c r="A14" s="2" t="s">
        <v>32</v>
      </c>
      <c r="B14" s="8" t="s">
        <v>33</v>
      </c>
      <c r="C14" s="8"/>
    </row>
    <row r="15" spans="1:16" s="1" customFormat="1" ht="15" customHeight="1" x14ac:dyDescent="0.35">
      <c r="A15" s="2" t="s">
        <v>34</v>
      </c>
      <c r="B15" s="2">
        <v>2</v>
      </c>
      <c r="C15" s="2">
        <v>3</v>
      </c>
      <c r="D15" s="2">
        <v>4</v>
      </c>
      <c r="E15" s="2">
        <v>5</v>
      </c>
      <c r="F15" s="2">
        <v>6</v>
      </c>
      <c r="G15" s="2">
        <v>7</v>
      </c>
      <c r="H15" s="2">
        <v>8</v>
      </c>
      <c r="I15" s="2">
        <v>9</v>
      </c>
      <c r="J15" s="2">
        <v>14</v>
      </c>
      <c r="K15" s="2">
        <v>17</v>
      </c>
      <c r="L15" s="2">
        <v>22</v>
      </c>
      <c r="M15" s="2">
        <v>23</v>
      </c>
      <c r="N15" s="2">
        <v>25</v>
      </c>
      <c r="O15" s="2">
        <v>92</v>
      </c>
      <c r="P15" s="2">
        <v>96</v>
      </c>
    </row>
    <row r="16" spans="1:16" s="1" customFormat="1" ht="15" customHeight="1" x14ac:dyDescent="0.3">
      <c r="A16" s="1" t="s">
        <v>0</v>
      </c>
    </row>
    <row r="17" spans="1:25" s="1" customFormat="1" ht="15" customHeight="1" x14ac:dyDescent="0.35">
      <c r="A17" s="1">
        <v>1</v>
      </c>
      <c r="B17" s="4">
        <v>6.13</v>
      </c>
      <c r="C17" s="4">
        <v>6.13</v>
      </c>
      <c r="D17" s="4">
        <v>6.13</v>
      </c>
      <c r="E17" s="4">
        <v>6.13</v>
      </c>
      <c r="F17" s="4">
        <v>6.13</v>
      </c>
      <c r="G17" s="4">
        <v>6.13</v>
      </c>
      <c r="H17" s="4">
        <v>6.13</v>
      </c>
      <c r="I17" s="4">
        <v>39.380000000000003</v>
      </c>
      <c r="J17" s="4">
        <v>8.9600000000000009</v>
      </c>
      <c r="K17" s="4">
        <v>39.380000000000003</v>
      </c>
      <c r="L17" s="4">
        <v>9.19</v>
      </c>
      <c r="M17" s="4">
        <v>13.71</v>
      </c>
      <c r="N17" s="4">
        <v>14.15</v>
      </c>
      <c r="O17" s="4">
        <v>13.71</v>
      </c>
      <c r="P17" s="4">
        <v>14.15</v>
      </c>
      <c r="R17" s="1">
        <f>13.85*0.43</f>
        <v>5.9554999999999998</v>
      </c>
      <c r="S17" s="1">
        <f>0.18*13.85</f>
        <v>2.4929999999999999</v>
      </c>
      <c r="T17" s="1">
        <f>0.18*R18</f>
        <v>1.4210099999999999</v>
      </c>
      <c r="V17" s="14">
        <v>17.079999999999998</v>
      </c>
      <c r="X17" s="13">
        <f>V17-B17</f>
        <v>10.95</v>
      </c>
      <c r="Y17" s="1">
        <f>X17/V17</f>
        <v>0.6411007025761124</v>
      </c>
    </row>
    <row r="18" spans="1:25" s="1" customFormat="1" ht="15" customHeight="1" x14ac:dyDescent="0.35">
      <c r="A18" s="1">
        <v>2</v>
      </c>
      <c r="B18" s="4">
        <v>6.13</v>
      </c>
      <c r="C18" s="4">
        <v>6.13</v>
      </c>
      <c r="D18" s="4">
        <v>6.13</v>
      </c>
      <c r="E18" s="4">
        <v>6.13</v>
      </c>
      <c r="F18" s="4">
        <v>6.13</v>
      </c>
      <c r="G18" s="5">
        <v>6.29</v>
      </c>
      <c r="H18" s="5">
        <v>6.4</v>
      </c>
      <c r="I18" s="4">
        <v>39.380000000000003</v>
      </c>
      <c r="J18" s="4">
        <v>8.9600000000000009</v>
      </c>
      <c r="K18" s="4">
        <v>39.380000000000003</v>
      </c>
      <c r="L18" s="4">
        <v>9.19</v>
      </c>
      <c r="M18" s="4">
        <v>13.71</v>
      </c>
      <c r="N18" s="4">
        <v>14.15</v>
      </c>
      <c r="O18" s="4">
        <v>13.71</v>
      </c>
      <c r="P18" s="4">
        <v>14.15</v>
      </c>
      <c r="R18" s="1">
        <f>13.85-R17</f>
        <v>7.8944999999999999</v>
      </c>
      <c r="S18" s="1">
        <f>R18-S17</f>
        <v>5.4015000000000004</v>
      </c>
      <c r="T18" s="1">
        <f>R18-T17</f>
        <v>6.47349</v>
      </c>
    </row>
    <row r="19" spans="1:25" s="1" customFormat="1" ht="15" customHeight="1" x14ac:dyDescent="0.35">
      <c r="A19" s="1">
        <v>3</v>
      </c>
      <c r="B19" s="4">
        <v>6.13</v>
      </c>
      <c r="C19" s="4">
        <v>6.13</v>
      </c>
      <c r="D19" s="4">
        <v>6.13</v>
      </c>
      <c r="E19" s="5">
        <v>6.21</v>
      </c>
      <c r="F19" s="5">
        <v>6.47</v>
      </c>
      <c r="G19" s="5">
        <v>6.71</v>
      </c>
      <c r="H19" s="5">
        <v>7.04</v>
      </c>
      <c r="I19" s="4">
        <v>39.380000000000003</v>
      </c>
      <c r="J19" s="4">
        <v>8.9600000000000009</v>
      </c>
      <c r="K19" s="4">
        <v>39.380000000000003</v>
      </c>
      <c r="L19" s="4">
        <v>9.19</v>
      </c>
      <c r="M19" s="4">
        <v>13.71</v>
      </c>
      <c r="N19" s="4">
        <v>14.15</v>
      </c>
      <c r="O19" s="4">
        <v>13.71</v>
      </c>
      <c r="P19" s="4">
        <v>14.15</v>
      </c>
      <c r="Y19" s="1">
        <f>0.43+0.18</f>
        <v>0.61</v>
      </c>
    </row>
    <row r="20" spans="1:25" s="1" customFormat="1" ht="15" customHeight="1" x14ac:dyDescent="0.35">
      <c r="A20" s="1">
        <v>4</v>
      </c>
      <c r="B20" s="4">
        <v>6.13</v>
      </c>
      <c r="C20" s="4">
        <v>6.13</v>
      </c>
      <c r="D20" s="5">
        <v>6.15</v>
      </c>
      <c r="E20" s="5">
        <v>6.56</v>
      </c>
      <c r="F20" s="5">
        <v>6.74</v>
      </c>
      <c r="G20" s="5">
        <v>7.2</v>
      </c>
      <c r="H20" s="5">
        <v>7.54</v>
      </c>
      <c r="I20" s="4">
        <v>39.380000000000003</v>
      </c>
      <c r="J20" s="4">
        <v>8.9600000000000009</v>
      </c>
      <c r="K20" s="4">
        <v>39.380000000000003</v>
      </c>
      <c r="L20" s="4">
        <v>9.19</v>
      </c>
      <c r="M20" s="4">
        <v>13.71</v>
      </c>
      <c r="N20" s="4">
        <v>14.15</v>
      </c>
      <c r="O20" s="5">
        <v>14.65</v>
      </c>
      <c r="P20" s="5">
        <v>15.45</v>
      </c>
      <c r="R20" s="1">
        <f>0.18+0.43</f>
        <v>0.61</v>
      </c>
    </row>
    <row r="21" spans="1:25" s="1" customFormat="1" ht="15" customHeight="1" x14ac:dyDescent="0.35">
      <c r="A21" s="1">
        <v>5</v>
      </c>
      <c r="B21" s="4">
        <v>6.13</v>
      </c>
      <c r="C21" s="4">
        <v>6.13</v>
      </c>
      <c r="D21" s="5">
        <v>6.31</v>
      </c>
      <c r="E21" s="5">
        <v>6.85</v>
      </c>
      <c r="F21" s="5">
        <v>7.12</v>
      </c>
      <c r="G21" s="5">
        <v>7.54</v>
      </c>
      <c r="H21" s="5">
        <v>7.99</v>
      </c>
      <c r="I21" s="5">
        <v>42.35</v>
      </c>
      <c r="J21" s="4">
        <v>8.9600000000000009</v>
      </c>
      <c r="K21" s="4">
        <v>39.380000000000003</v>
      </c>
      <c r="L21" s="4">
        <v>9.19</v>
      </c>
      <c r="M21" s="4">
        <v>13.71</v>
      </c>
      <c r="N21" s="4">
        <v>14.15</v>
      </c>
      <c r="O21" s="5">
        <v>16.670000000000002</v>
      </c>
      <c r="P21" s="5">
        <v>17.559999999999999</v>
      </c>
      <c r="R21" s="1">
        <f>13.85</f>
        <v>13.85</v>
      </c>
      <c r="X21" s="13">
        <f>V17-Y19*V17</f>
        <v>6.6611999999999991</v>
      </c>
    </row>
    <row r="22" spans="1:25" s="1" customFormat="1" ht="15" customHeight="1" x14ac:dyDescent="0.35">
      <c r="A22" s="1">
        <v>6</v>
      </c>
      <c r="B22" s="4">
        <v>6.13</v>
      </c>
      <c r="C22" s="4">
        <v>6.13</v>
      </c>
      <c r="D22" s="5">
        <v>6.37</v>
      </c>
      <c r="E22" s="5">
        <v>6.88</v>
      </c>
      <c r="F22" s="5">
        <v>7.13</v>
      </c>
      <c r="G22" s="5">
        <v>7.54</v>
      </c>
      <c r="H22" s="5">
        <v>7.99</v>
      </c>
      <c r="I22" s="5">
        <v>45.71</v>
      </c>
      <c r="J22" s="4">
        <v>8.9600000000000009</v>
      </c>
      <c r="K22" s="4">
        <v>39.380000000000003</v>
      </c>
      <c r="L22" s="4">
        <v>9.19</v>
      </c>
      <c r="M22" s="5">
        <v>14.35</v>
      </c>
      <c r="N22" s="5">
        <v>15.08</v>
      </c>
      <c r="O22" s="5">
        <v>18.77</v>
      </c>
      <c r="P22" s="5">
        <v>19.739999999999998</v>
      </c>
      <c r="R22" s="1">
        <f>R20*R21</f>
        <v>8.4484999999999992</v>
      </c>
    </row>
    <row r="23" spans="1:25" s="1" customFormat="1" ht="15" customHeight="1" x14ac:dyDescent="0.35">
      <c r="A23" s="1">
        <v>7</v>
      </c>
      <c r="B23" s="4">
        <v>6.13</v>
      </c>
      <c r="C23" s="4">
        <v>6.13</v>
      </c>
      <c r="D23" s="5">
        <v>6.54</v>
      </c>
      <c r="E23" s="5">
        <v>7.09</v>
      </c>
      <c r="F23" s="5">
        <v>7.26</v>
      </c>
      <c r="G23" s="5">
        <v>7.75</v>
      </c>
      <c r="H23" s="5">
        <v>8.2899999999999991</v>
      </c>
      <c r="I23" s="5">
        <v>48.8</v>
      </c>
      <c r="J23" s="4">
        <v>8.9600000000000009</v>
      </c>
      <c r="K23" s="4">
        <v>39.380000000000003</v>
      </c>
      <c r="L23" s="4">
        <v>9.19</v>
      </c>
      <c r="M23" s="5">
        <v>15.89</v>
      </c>
      <c r="N23" s="5">
        <v>16.73</v>
      </c>
      <c r="O23" s="5">
        <v>20.8</v>
      </c>
      <c r="P23" s="5">
        <v>21.89</v>
      </c>
      <c r="R23" s="1">
        <f>R21-R22</f>
        <v>5.4015000000000004</v>
      </c>
    </row>
    <row r="24" spans="1:25" s="1" customFormat="1" ht="15" customHeight="1" x14ac:dyDescent="0.35">
      <c r="A24" s="1">
        <v>8</v>
      </c>
      <c r="B24" s="4">
        <v>6.13</v>
      </c>
      <c r="C24" s="4">
        <v>6.13</v>
      </c>
      <c r="D24" s="5">
        <v>6.76</v>
      </c>
      <c r="E24" s="5">
        <v>7.3</v>
      </c>
      <c r="F24" s="5">
        <v>7.55</v>
      </c>
      <c r="G24" s="5">
        <v>8.06</v>
      </c>
      <c r="H24" s="5">
        <v>8.65</v>
      </c>
      <c r="I24" s="5">
        <v>50.71</v>
      </c>
      <c r="J24" s="4">
        <v>8.9600000000000009</v>
      </c>
      <c r="K24" s="4">
        <v>39.380000000000003</v>
      </c>
      <c r="L24" s="4">
        <v>9.19</v>
      </c>
      <c r="M24" s="5">
        <v>17.46</v>
      </c>
      <c r="N24" s="5">
        <v>18.43</v>
      </c>
      <c r="O24" s="5">
        <v>22.85</v>
      </c>
      <c r="P24" s="5">
        <v>24.11</v>
      </c>
      <c r="W24" s="13">
        <f>V17-G18</f>
        <v>10.79</v>
      </c>
    </row>
    <row r="25" spans="1:25" s="1" customFormat="1" ht="15" customHeight="1" x14ac:dyDescent="0.35">
      <c r="A25" s="1">
        <v>9</v>
      </c>
      <c r="B25" s="4">
        <v>6.13</v>
      </c>
      <c r="C25" s="5">
        <v>6.21</v>
      </c>
      <c r="D25" s="5">
        <v>6.79</v>
      </c>
      <c r="E25" s="5">
        <v>7.36</v>
      </c>
      <c r="F25" s="5">
        <v>7.71</v>
      </c>
      <c r="G25" s="5">
        <v>8.39</v>
      </c>
      <c r="H25" s="5">
        <v>9.11</v>
      </c>
      <c r="I25" s="5">
        <v>54.28</v>
      </c>
      <c r="J25" s="4">
        <v>8.9600000000000009</v>
      </c>
      <c r="K25" s="5">
        <v>41.48</v>
      </c>
      <c r="L25" s="4">
        <v>9.19</v>
      </c>
      <c r="M25" s="5">
        <v>19.010000000000002</v>
      </c>
      <c r="N25" s="5">
        <v>20.100000000000001</v>
      </c>
      <c r="O25" s="5">
        <v>24.88</v>
      </c>
      <c r="P25" s="5">
        <v>26.3</v>
      </c>
      <c r="U25" s="14">
        <v>17.04</v>
      </c>
      <c r="W25" s="1">
        <f>W24/V17</f>
        <v>0.63173302107728335</v>
      </c>
    </row>
    <row r="26" spans="1:25" s="1" customFormat="1" ht="15" customHeight="1" x14ac:dyDescent="0.35">
      <c r="A26" s="1">
        <v>10</v>
      </c>
      <c r="B26" s="4">
        <v>6.13</v>
      </c>
      <c r="C26" s="5">
        <v>6.28</v>
      </c>
      <c r="D26" s="5">
        <v>6.86</v>
      </c>
      <c r="E26" s="5">
        <v>7.56</v>
      </c>
      <c r="F26" s="5">
        <v>7.8</v>
      </c>
      <c r="G26" s="5">
        <v>8.7899999999999991</v>
      </c>
      <c r="H26" s="5">
        <v>9.7100000000000009</v>
      </c>
      <c r="I26" s="5">
        <v>57.67</v>
      </c>
      <c r="J26" s="4">
        <v>8.9600000000000009</v>
      </c>
      <c r="K26" s="5">
        <v>44.07</v>
      </c>
      <c r="L26" s="4">
        <v>9.19</v>
      </c>
      <c r="M26" s="5">
        <v>20.56</v>
      </c>
      <c r="N26" s="5">
        <v>21.8</v>
      </c>
      <c r="O26" s="5">
        <v>26.9</v>
      </c>
      <c r="P26" s="5">
        <v>28.53</v>
      </c>
    </row>
    <row r="27" spans="1:25" s="1" customFormat="1" ht="15" customHeight="1" x14ac:dyDescent="0.35">
      <c r="A27" s="1">
        <v>11</v>
      </c>
      <c r="B27" s="4">
        <v>6.13</v>
      </c>
      <c r="C27" s="4">
        <v>6.13</v>
      </c>
      <c r="D27" s="5">
        <v>6.54</v>
      </c>
      <c r="E27" s="5">
        <v>7.1</v>
      </c>
      <c r="F27" s="5">
        <v>7.53</v>
      </c>
      <c r="G27" s="5">
        <v>8.8800000000000008</v>
      </c>
      <c r="H27" s="5">
        <v>9.64</v>
      </c>
      <c r="I27" s="5">
        <v>61.19</v>
      </c>
      <c r="J27" s="4">
        <v>8.9600000000000009</v>
      </c>
      <c r="K27" s="5">
        <v>46.76</v>
      </c>
      <c r="L27" s="4">
        <v>9.19</v>
      </c>
      <c r="M27" s="5">
        <v>22.28</v>
      </c>
      <c r="N27" s="5">
        <v>23.63</v>
      </c>
      <c r="O27" s="5">
        <v>29.15</v>
      </c>
      <c r="P27" s="5">
        <v>30.93</v>
      </c>
    </row>
    <row r="28" spans="1:25" s="1" customFormat="1" ht="15" customHeight="1" x14ac:dyDescent="0.35">
      <c r="A28" s="1">
        <v>12</v>
      </c>
      <c r="B28" s="4">
        <v>6.13</v>
      </c>
      <c r="C28" s="5">
        <v>6.21</v>
      </c>
      <c r="D28" s="5">
        <v>6.61</v>
      </c>
      <c r="E28" s="5">
        <v>7.2</v>
      </c>
      <c r="F28" s="5">
        <v>7.79</v>
      </c>
      <c r="G28" s="5">
        <v>9.23</v>
      </c>
      <c r="H28" s="5">
        <v>10.09</v>
      </c>
      <c r="I28" s="5">
        <v>63.81</v>
      </c>
      <c r="J28" s="4">
        <v>8.9600000000000009</v>
      </c>
      <c r="K28" s="5">
        <v>48.77</v>
      </c>
      <c r="L28" s="4">
        <v>9.19</v>
      </c>
      <c r="M28" s="5">
        <v>23.79</v>
      </c>
      <c r="N28" s="5">
        <v>25.26</v>
      </c>
      <c r="O28" s="5">
        <v>31.13</v>
      </c>
      <c r="P28" s="5">
        <v>33.049999999999997</v>
      </c>
    </row>
    <row r="29" spans="1:25" s="1" customFormat="1" ht="15" customHeight="1" x14ac:dyDescent="0.35">
      <c r="A29" s="1">
        <v>13</v>
      </c>
      <c r="B29" s="4">
        <v>6.13</v>
      </c>
      <c r="C29" s="5">
        <v>6.24</v>
      </c>
      <c r="D29" s="5">
        <v>6.68</v>
      </c>
      <c r="E29" s="5">
        <v>7.33</v>
      </c>
      <c r="F29" s="5">
        <v>8.0299999999999994</v>
      </c>
      <c r="G29" s="5">
        <v>9.8000000000000007</v>
      </c>
      <c r="H29" s="5">
        <v>10.55</v>
      </c>
      <c r="I29" s="5">
        <v>66.459999999999994</v>
      </c>
      <c r="J29" s="4">
        <v>8.9600000000000009</v>
      </c>
      <c r="K29" s="5">
        <v>50.79</v>
      </c>
      <c r="L29" s="5">
        <v>9.4700000000000006</v>
      </c>
      <c r="M29" s="5">
        <v>25.2</v>
      </c>
      <c r="N29" s="5">
        <v>26.81</v>
      </c>
      <c r="O29" s="5">
        <v>32.979999999999997</v>
      </c>
      <c r="P29" s="5">
        <v>35.090000000000003</v>
      </c>
    </row>
    <row r="30" spans="1:25" s="1" customFormat="1" ht="15" customHeight="1" x14ac:dyDescent="0.35">
      <c r="A30" s="1">
        <v>14</v>
      </c>
      <c r="B30" s="4">
        <v>6.13</v>
      </c>
      <c r="C30" s="5">
        <v>6.41</v>
      </c>
      <c r="D30" s="5">
        <v>6.75</v>
      </c>
      <c r="E30" s="5">
        <v>7.51</v>
      </c>
      <c r="F30" s="5">
        <v>8.5</v>
      </c>
      <c r="G30" s="5">
        <v>10.5</v>
      </c>
      <c r="H30" s="5">
        <v>11.47</v>
      </c>
      <c r="I30" s="5">
        <v>69.209999999999994</v>
      </c>
      <c r="J30" s="4">
        <v>8.9600000000000009</v>
      </c>
      <c r="K30" s="5">
        <v>52.89</v>
      </c>
      <c r="L30" s="5">
        <v>9.7799999999999994</v>
      </c>
      <c r="M30" s="5">
        <v>26.5</v>
      </c>
      <c r="N30" s="5">
        <v>28.37</v>
      </c>
      <c r="O30" s="5">
        <v>34.68</v>
      </c>
      <c r="P30" s="5">
        <v>37.130000000000003</v>
      </c>
    </row>
    <row r="31" spans="1:25" s="1" customFormat="1" ht="15" customHeight="1" x14ac:dyDescent="0.35">
      <c r="A31" s="1">
        <v>15</v>
      </c>
      <c r="B31" s="4">
        <v>6.13</v>
      </c>
      <c r="C31" s="5">
        <v>6.55</v>
      </c>
      <c r="D31" s="5">
        <v>6.84</v>
      </c>
      <c r="E31" s="5">
        <v>7.78</v>
      </c>
      <c r="F31" s="5">
        <v>8.9700000000000006</v>
      </c>
      <c r="G31" s="5">
        <v>10.83</v>
      </c>
      <c r="H31" s="5">
        <v>11.94</v>
      </c>
      <c r="I31" s="5">
        <v>71.760000000000005</v>
      </c>
      <c r="J31" s="4">
        <v>8.9600000000000009</v>
      </c>
      <c r="K31" s="5">
        <v>54.84</v>
      </c>
      <c r="L31" s="5">
        <v>10.08</v>
      </c>
      <c r="M31" s="5">
        <v>27.84</v>
      </c>
      <c r="N31" s="5">
        <v>29.92</v>
      </c>
      <c r="O31" s="5">
        <v>36.43</v>
      </c>
      <c r="P31" s="5">
        <v>39.15</v>
      </c>
    </row>
    <row r="32" spans="1:25" s="1" customFormat="1" ht="15" customHeight="1" x14ac:dyDescent="0.35">
      <c r="A32" s="1">
        <v>16</v>
      </c>
      <c r="B32" s="5">
        <v>6.23</v>
      </c>
      <c r="C32" s="5">
        <v>6.74</v>
      </c>
      <c r="D32" s="5">
        <v>6.97</v>
      </c>
      <c r="E32" s="5">
        <v>7.91</v>
      </c>
      <c r="F32" s="5">
        <v>9.26</v>
      </c>
      <c r="G32" s="5">
        <v>11.4</v>
      </c>
      <c r="H32" s="5">
        <v>12.54</v>
      </c>
      <c r="I32" s="5">
        <v>74.97</v>
      </c>
      <c r="J32" s="4">
        <v>8.9600000000000009</v>
      </c>
      <c r="K32" s="5">
        <v>57.29</v>
      </c>
      <c r="L32" s="5">
        <v>10.32</v>
      </c>
      <c r="M32" s="5">
        <v>29.08</v>
      </c>
      <c r="N32" s="5">
        <v>31.33</v>
      </c>
      <c r="O32" s="5">
        <v>38.049999999999997</v>
      </c>
      <c r="P32" s="5">
        <v>41</v>
      </c>
    </row>
    <row r="33" spans="1:16" s="1" customFormat="1" ht="15" customHeight="1" x14ac:dyDescent="0.35">
      <c r="A33" s="1">
        <v>17</v>
      </c>
      <c r="B33" s="5">
        <v>6.27</v>
      </c>
      <c r="C33" s="5">
        <v>6.88</v>
      </c>
      <c r="D33" s="5">
        <v>7.05</v>
      </c>
      <c r="E33" s="5">
        <v>8.14</v>
      </c>
      <c r="F33" s="5">
        <v>9.66</v>
      </c>
      <c r="G33" s="5">
        <v>11.98</v>
      </c>
      <c r="H33" s="5">
        <v>12.54</v>
      </c>
      <c r="I33" s="5">
        <v>78.17</v>
      </c>
      <c r="J33" s="4">
        <v>8.9600000000000009</v>
      </c>
      <c r="K33" s="5">
        <v>59.73</v>
      </c>
      <c r="L33" s="5">
        <v>10.64</v>
      </c>
      <c r="M33" s="5">
        <v>30.47</v>
      </c>
      <c r="N33" s="5">
        <v>32.96</v>
      </c>
      <c r="O33" s="5">
        <v>39.869999999999997</v>
      </c>
      <c r="P33" s="5">
        <v>43.13</v>
      </c>
    </row>
    <row r="34" spans="1:16" s="1" customFormat="1" ht="15" customHeight="1" x14ac:dyDescent="0.35">
      <c r="A34" s="1">
        <v>18</v>
      </c>
      <c r="B34" s="5">
        <v>6.34</v>
      </c>
      <c r="C34" s="5">
        <v>6.97</v>
      </c>
      <c r="D34" s="5">
        <v>7.12</v>
      </c>
      <c r="E34" s="5">
        <v>8.5299999999999994</v>
      </c>
      <c r="F34" s="5">
        <v>10.16</v>
      </c>
      <c r="G34" s="5">
        <v>12.34</v>
      </c>
      <c r="H34" s="5">
        <v>13.52</v>
      </c>
      <c r="I34" s="5">
        <v>81.400000000000006</v>
      </c>
      <c r="J34" s="4">
        <v>8.9600000000000009</v>
      </c>
      <c r="K34" s="5">
        <v>62.2</v>
      </c>
      <c r="L34" s="5">
        <v>10.94</v>
      </c>
      <c r="M34" s="5">
        <v>31.89</v>
      </c>
      <c r="N34" s="5">
        <v>34.590000000000003</v>
      </c>
      <c r="O34" s="5">
        <v>41.73</v>
      </c>
      <c r="P34" s="5">
        <v>45.26</v>
      </c>
    </row>
    <row r="35" spans="1:16" s="1" customFormat="1" ht="15" customHeight="1" x14ac:dyDescent="0.35">
      <c r="A35" s="1">
        <v>19</v>
      </c>
      <c r="B35" s="5">
        <v>6.51</v>
      </c>
      <c r="C35" s="5">
        <v>7.31</v>
      </c>
      <c r="D35" s="5">
        <v>7.51</v>
      </c>
      <c r="E35" s="5">
        <v>8.93</v>
      </c>
      <c r="F35" s="5">
        <v>10.46</v>
      </c>
      <c r="G35" s="5">
        <v>12.71</v>
      </c>
      <c r="H35" s="5">
        <v>14.17</v>
      </c>
      <c r="I35" s="5">
        <v>84.61</v>
      </c>
      <c r="J35" s="4">
        <v>8.9600000000000009</v>
      </c>
      <c r="K35" s="5">
        <v>64.66</v>
      </c>
      <c r="L35" s="5">
        <v>11.28</v>
      </c>
      <c r="M35" s="5">
        <v>33.26</v>
      </c>
      <c r="N35" s="5">
        <v>36.21</v>
      </c>
      <c r="O35" s="5">
        <v>43.53</v>
      </c>
      <c r="P35" s="5">
        <v>47.38</v>
      </c>
    </row>
    <row r="36" spans="1:16" s="1" customFormat="1" ht="15" customHeight="1" x14ac:dyDescent="0.35">
      <c r="A36" s="1">
        <v>20</v>
      </c>
      <c r="B36" s="5">
        <v>6.56</v>
      </c>
      <c r="C36" s="5">
        <v>7.37</v>
      </c>
      <c r="D36" s="5">
        <v>7.55</v>
      </c>
      <c r="E36" s="5">
        <v>9.2799999999999994</v>
      </c>
      <c r="F36" s="5">
        <v>10.81</v>
      </c>
      <c r="G36" s="5">
        <v>13.18</v>
      </c>
      <c r="H36" s="5">
        <v>14.68</v>
      </c>
      <c r="I36" s="5">
        <v>87.44</v>
      </c>
      <c r="J36" s="4">
        <v>8.9600000000000009</v>
      </c>
      <c r="K36" s="5">
        <v>66.819999999999993</v>
      </c>
      <c r="L36" s="5">
        <v>11.57</v>
      </c>
      <c r="M36" s="5">
        <v>34.6</v>
      </c>
      <c r="N36" s="5">
        <v>37.85</v>
      </c>
      <c r="O36" s="5">
        <v>45.28</v>
      </c>
      <c r="P36" s="5">
        <v>49.53</v>
      </c>
    </row>
    <row r="37" spans="1:16" s="1" customFormat="1" ht="15" customHeight="1" x14ac:dyDescent="0.35">
      <c r="A37" s="1">
        <v>21</v>
      </c>
      <c r="B37" s="4">
        <v>6.13</v>
      </c>
      <c r="C37" s="5">
        <v>6.81</v>
      </c>
      <c r="D37" s="5">
        <v>7.07</v>
      </c>
      <c r="E37" s="5">
        <v>8.35</v>
      </c>
      <c r="F37" s="5">
        <v>9.91</v>
      </c>
      <c r="G37" s="5">
        <v>12.04</v>
      </c>
      <c r="H37" s="5">
        <v>13.45</v>
      </c>
      <c r="I37" s="5">
        <v>89.44</v>
      </c>
      <c r="J37" s="4">
        <v>8.9600000000000009</v>
      </c>
      <c r="K37" s="5">
        <v>68.349999999999994</v>
      </c>
      <c r="L37" s="5">
        <v>11.93</v>
      </c>
      <c r="M37" s="5">
        <v>35.81</v>
      </c>
      <c r="N37" s="5">
        <v>39.479999999999997</v>
      </c>
      <c r="O37" s="5">
        <v>46.87</v>
      </c>
      <c r="P37" s="5">
        <v>51.66</v>
      </c>
    </row>
    <row r="38" spans="1:16" s="1" customFormat="1" ht="15" customHeight="1" x14ac:dyDescent="0.35">
      <c r="A38" s="1">
        <v>22</v>
      </c>
      <c r="B38" s="4">
        <v>6.13</v>
      </c>
      <c r="C38" s="5">
        <v>6.88</v>
      </c>
      <c r="D38" s="5">
        <v>7.25</v>
      </c>
      <c r="E38" s="5">
        <v>8.58</v>
      </c>
      <c r="F38" s="5">
        <v>10.32</v>
      </c>
      <c r="G38" s="5">
        <v>12.49</v>
      </c>
      <c r="H38" s="5">
        <v>14.04</v>
      </c>
      <c r="I38" s="5">
        <v>92.24</v>
      </c>
      <c r="J38" s="4">
        <v>8.9600000000000009</v>
      </c>
      <c r="K38" s="5">
        <v>70.489999999999995</v>
      </c>
      <c r="L38" s="5">
        <v>12.2</v>
      </c>
      <c r="M38" s="5">
        <v>36.99</v>
      </c>
      <c r="N38" s="5">
        <v>41.04</v>
      </c>
      <c r="O38" s="5">
        <v>48.4</v>
      </c>
      <c r="P38" s="5">
        <v>53.7</v>
      </c>
    </row>
    <row r="39" spans="1:16" s="1" customFormat="1" ht="15" customHeight="1" x14ac:dyDescent="0.35">
      <c r="A39" s="1">
        <v>23</v>
      </c>
      <c r="B39" s="4">
        <v>6.13</v>
      </c>
      <c r="C39" s="5">
        <v>7.01</v>
      </c>
      <c r="D39" s="5">
        <v>7.41</v>
      </c>
      <c r="E39" s="5">
        <v>8.74</v>
      </c>
      <c r="F39" s="5">
        <v>10.71</v>
      </c>
      <c r="G39" s="5">
        <v>12.79</v>
      </c>
      <c r="H39" s="5">
        <v>14.6</v>
      </c>
      <c r="I39" s="5">
        <v>95.02</v>
      </c>
      <c r="J39" s="4">
        <v>8.9600000000000009</v>
      </c>
      <c r="K39" s="5">
        <v>72.61</v>
      </c>
      <c r="L39" s="5">
        <v>12.52</v>
      </c>
      <c r="M39" s="5">
        <v>38.15</v>
      </c>
      <c r="N39" s="5">
        <v>42.58</v>
      </c>
      <c r="O39" s="5">
        <v>49.92</v>
      </c>
      <c r="P39" s="5">
        <v>55.72</v>
      </c>
    </row>
    <row r="40" spans="1:16" s="1" customFormat="1" ht="15" customHeight="1" x14ac:dyDescent="0.35">
      <c r="A40" s="1">
        <v>24</v>
      </c>
      <c r="B40" s="5">
        <v>6.25</v>
      </c>
      <c r="C40" s="5">
        <v>7.29</v>
      </c>
      <c r="D40" s="5">
        <v>7.8</v>
      </c>
      <c r="E40" s="5">
        <v>9.2100000000000009</v>
      </c>
      <c r="F40" s="5">
        <v>11.22</v>
      </c>
      <c r="G40" s="5">
        <v>13.22</v>
      </c>
      <c r="H40" s="5">
        <v>15.44</v>
      </c>
      <c r="I40" s="5">
        <v>98.14</v>
      </c>
      <c r="J40" s="4">
        <v>8.9600000000000009</v>
      </c>
      <c r="K40" s="5">
        <v>75</v>
      </c>
      <c r="L40" s="5">
        <v>12.84</v>
      </c>
      <c r="M40" s="5">
        <v>39.29</v>
      </c>
      <c r="N40" s="5">
        <v>44.13</v>
      </c>
      <c r="O40" s="5">
        <v>51.41</v>
      </c>
      <c r="P40" s="5">
        <v>57.75</v>
      </c>
    </row>
    <row r="41" spans="1:16" s="1" customFormat="1" ht="15" customHeight="1" x14ac:dyDescent="0.35">
      <c r="A41" s="1">
        <v>25</v>
      </c>
      <c r="B41" s="5">
        <v>6.27</v>
      </c>
      <c r="C41" s="5">
        <v>7.32</v>
      </c>
      <c r="D41" s="5">
        <v>7.83</v>
      </c>
      <c r="E41" s="5">
        <v>9.3800000000000008</v>
      </c>
      <c r="F41" s="5">
        <v>11.54</v>
      </c>
      <c r="G41" s="5">
        <v>13.95</v>
      </c>
      <c r="H41" s="5">
        <v>15.91</v>
      </c>
      <c r="I41" s="5">
        <v>101.18</v>
      </c>
      <c r="J41" s="4">
        <v>8.9600000000000009</v>
      </c>
      <c r="K41" s="5">
        <v>77.319999999999993</v>
      </c>
      <c r="L41" s="5">
        <v>13.2</v>
      </c>
      <c r="M41" s="5">
        <v>40.549999999999997</v>
      </c>
      <c r="N41" s="5">
        <v>45.65</v>
      </c>
      <c r="O41" s="5">
        <v>53.07</v>
      </c>
      <c r="P41" s="5">
        <v>59.74</v>
      </c>
    </row>
    <row r="42" spans="1:16" s="1" customFormat="1" ht="15" customHeight="1" x14ac:dyDescent="0.35">
      <c r="A42" s="1">
        <v>26</v>
      </c>
      <c r="B42" s="4">
        <v>6.13</v>
      </c>
      <c r="C42" s="5">
        <v>6.39</v>
      </c>
      <c r="D42" s="5">
        <v>6.89</v>
      </c>
      <c r="E42" s="5">
        <v>8.24</v>
      </c>
      <c r="F42" s="5">
        <v>10.09</v>
      </c>
      <c r="G42" s="5">
        <v>12.25</v>
      </c>
      <c r="H42" s="5">
        <v>13.98</v>
      </c>
      <c r="I42" s="5">
        <v>104.38</v>
      </c>
      <c r="J42" s="4">
        <v>8.9600000000000009</v>
      </c>
      <c r="K42" s="5">
        <v>79.760000000000005</v>
      </c>
      <c r="L42" s="5">
        <v>13.55</v>
      </c>
      <c r="M42" s="5">
        <v>41.8</v>
      </c>
      <c r="N42" s="5">
        <v>47.14</v>
      </c>
      <c r="O42" s="5">
        <v>54.69</v>
      </c>
      <c r="P42" s="5">
        <v>61.69</v>
      </c>
    </row>
    <row r="43" spans="1:16" s="1" customFormat="1" ht="15" customHeight="1" x14ac:dyDescent="0.35">
      <c r="A43" s="1">
        <v>27</v>
      </c>
      <c r="B43" s="4">
        <v>6.13</v>
      </c>
      <c r="C43" s="5">
        <v>6.54</v>
      </c>
      <c r="D43" s="5">
        <v>7.03</v>
      </c>
      <c r="E43" s="5">
        <v>8.3800000000000008</v>
      </c>
      <c r="F43" s="5">
        <v>10.5</v>
      </c>
      <c r="G43" s="5">
        <v>12.48</v>
      </c>
      <c r="H43" s="5">
        <v>14.22</v>
      </c>
      <c r="I43" s="5">
        <v>107.28</v>
      </c>
      <c r="J43" s="4">
        <v>8.9600000000000009</v>
      </c>
      <c r="K43" s="5">
        <v>81.98</v>
      </c>
      <c r="L43" s="5">
        <v>13.89</v>
      </c>
      <c r="M43" s="5">
        <v>43</v>
      </c>
      <c r="N43" s="5">
        <v>48.61</v>
      </c>
      <c r="O43" s="5">
        <v>56.27</v>
      </c>
      <c r="P43" s="5">
        <v>63.61</v>
      </c>
    </row>
    <row r="44" spans="1:16" s="1" customFormat="1" ht="15" customHeight="1" x14ac:dyDescent="0.35">
      <c r="A44" s="1">
        <v>28</v>
      </c>
      <c r="B44" s="4">
        <v>6.13</v>
      </c>
      <c r="C44" s="5">
        <v>6.7</v>
      </c>
      <c r="D44" s="5">
        <v>7.35</v>
      </c>
      <c r="E44" s="5">
        <v>8.8699999999999992</v>
      </c>
      <c r="F44" s="5">
        <v>11.01</v>
      </c>
      <c r="G44" s="5">
        <v>13.04</v>
      </c>
      <c r="H44" s="5">
        <v>14.76</v>
      </c>
      <c r="I44" s="5">
        <v>110.16</v>
      </c>
      <c r="J44" s="4">
        <v>8.9600000000000009</v>
      </c>
      <c r="K44" s="5">
        <v>84.18</v>
      </c>
      <c r="L44" s="5">
        <v>14.21</v>
      </c>
      <c r="M44" s="5">
        <v>44.24</v>
      </c>
      <c r="N44" s="5">
        <v>50.09</v>
      </c>
      <c r="O44" s="5">
        <v>57.9</v>
      </c>
      <c r="P44" s="5">
        <v>65.540000000000006</v>
      </c>
    </row>
    <row r="45" spans="1:16" s="1" customFormat="1" ht="15" customHeight="1" x14ac:dyDescent="0.35">
      <c r="A45" s="1">
        <v>29</v>
      </c>
      <c r="B45" s="4">
        <v>6.13</v>
      </c>
      <c r="C45" s="5">
        <v>6.83</v>
      </c>
      <c r="D45" s="5">
        <v>7.42</v>
      </c>
      <c r="E45" s="5">
        <v>8.8699999999999992</v>
      </c>
      <c r="F45" s="5">
        <v>11.33</v>
      </c>
      <c r="G45" s="5">
        <v>13.33</v>
      </c>
      <c r="H45" s="5">
        <v>15.15</v>
      </c>
      <c r="I45" s="5">
        <v>112.87</v>
      </c>
      <c r="J45" s="5">
        <v>9.06</v>
      </c>
      <c r="K45" s="5">
        <v>86.25</v>
      </c>
      <c r="L45" s="5">
        <v>14.56</v>
      </c>
      <c r="M45" s="5">
        <v>45.5</v>
      </c>
      <c r="N45" s="5">
        <v>51.51</v>
      </c>
      <c r="O45" s="5">
        <v>59.55</v>
      </c>
      <c r="P45" s="5">
        <v>67.41</v>
      </c>
    </row>
    <row r="46" spans="1:16" s="1" customFormat="1" ht="15" customHeight="1" x14ac:dyDescent="0.35">
      <c r="A46" s="1">
        <v>30</v>
      </c>
      <c r="B46" s="4">
        <v>6.13</v>
      </c>
      <c r="C46" s="5">
        <v>6.99</v>
      </c>
      <c r="D46" s="5">
        <v>7.7</v>
      </c>
      <c r="E46" s="5">
        <v>9.2200000000000006</v>
      </c>
      <c r="F46" s="5">
        <v>11.51</v>
      </c>
      <c r="G46" s="5">
        <v>13.4</v>
      </c>
      <c r="H46" s="5">
        <v>15.78</v>
      </c>
      <c r="I46" s="5">
        <v>115.57</v>
      </c>
      <c r="J46" s="5">
        <v>9.1</v>
      </c>
      <c r="K46" s="5">
        <v>88.32</v>
      </c>
      <c r="L46" s="5">
        <v>14.85</v>
      </c>
      <c r="M46" s="5">
        <v>46.74</v>
      </c>
      <c r="N46" s="5">
        <v>53</v>
      </c>
      <c r="O46" s="5">
        <v>61.16</v>
      </c>
      <c r="P46" s="5">
        <v>69.349999999999994</v>
      </c>
    </row>
    <row r="47" spans="1:16" s="1" customFormat="1" ht="15" customHeight="1" x14ac:dyDescent="0.35">
      <c r="A47" s="1">
        <v>31</v>
      </c>
      <c r="B47" s="5">
        <v>6.16</v>
      </c>
      <c r="C47" s="5">
        <v>7.14</v>
      </c>
      <c r="D47" s="5">
        <v>7.85</v>
      </c>
      <c r="E47" s="5">
        <v>9.34</v>
      </c>
      <c r="F47" s="5">
        <v>11.84</v>
      </c>
      <c r="G47" s="5">
        <v>13.9</v>
      </c>
      <c r="H47" s="5">
        <v>16.29</v>
      </c>
      <c r="I47" s="5">
        <v>115.58</v>
      </c>
      <c r="J47" s="5">
        <v>9.2200000000000006</v>
      </c>
      <c r="K47" s="5">
        <v>88.33</v>
      </c>
      <c r="L47" s="5">
        <v>15.17</v>
      </c>
      <c r="M47" s="5">
        <v>47.99</v>
      </c>
      <c r="N47" s="5">
        <v>54.4</v>
      </c>
      <c r="O47" s="5">
        <v>62.8</v>
      </c>
      <c r="P47" s="5">
        <v>71.19</v>
      </c>
    </row>
    <row r="48" spans="1:16" s="1" customFormat="1" ht="15" customHeight="1" x14ac:dyDescent="0.35">
      <c r="A48" s="1">
        <v>32</v>
      </c>
      <c r="B48" s="5">
        <v>6.16</v>
      </c>
      <c r="C48" s="5">
        <v>7.15</v>
      </c>
      <c r="D48" s="5">
        <v>7.86</v>
      </c>
      <c r="E48" s="5">
        <v>9.34</v>
      </c>
      <c r="F48" s="5">
        <v>11.85</v>
      </c>
      <c r="G48" s="5">
        <v>13.9</v>
      </c>
      <c r="H48" s="5">
        <v>16.46</v>
      </c>
      <c r="I48" s="5">
        <v>115.98</v>
      </c>
      <c r="J48" s="5">
        <v>9.2899999999999991</v>
      </c>
      <c r="K48" s="5">
        <v>88.63</v>
      </c>
      <c r="L48" s="5">
        <v>15.41</v>
      </c>
      <c r="M48" s="5">
        <v>49.13</v>
      </c>
      <c r="N48" s="5">
        <v>55.7</v>
      </c>
      <c r="O48" s="5">
        <v>64.3</v>
      </c>
      <c r="P48" s="5">
        <v>72.89</v>
      </c>
    </row>
    <row r="49" spans="1:16" s="1" customFormat="1" ht="15" customHeight="1" x14ac:dyDescent="0.35">
      <c r="A49" s="1">
        <v>33</v>
      </c>
      <c r="B49" s="5">
        <v>6.19</v>
      </c>
      <c r="C49" s="5">
        <v>7.25</v>
      </c>
      <c r="D49" s="5">
        <v>8.2100000000000009</v>
      </c>
      <c r="E49" s="5">
        <v>9.7799999999999994</v>
      </c>
      <c r="F49" s="5">
        <v>12.59</v>
      </c>
      <c r="G49" s="5">
        <v>14.36</v>
      </c>
      <c r="H49" s="5">
        <v>16.91</v>
      </c>
      <c r="I49" s="5">
        <v>118.41</v>
      </c>
      <c r="J49" s="5">
        <v>9.35</v>
      </c>
      <c r="K49" s="5">
        <v>90.49</v>
      </c>
      <c r="L49" s="5">
        <v>15.65</v>
      </c>
      <c r="M49" s="5">
        <v>50.27</v>
      </c>
      <c r="N49" s="5">
        <v>56.89</v>
      </c>
      <c r="O49" s="5">
        <v>65.78</v>
      </c>
      <c r="P49" s="5">
        <v>74.45</v>
      </c>
    </row>
    <row r="50" spans="1:16" s="1" customFormat="1" ht="15" customHeight="1" x14ac:dyDescent="0.35">
      <c r="A50" s="1">
        <v>34</v>
      </c>
      <c r="B50" s="5">
        <v>6.23</v>
      </c>
      <c r="C50" s="5">
        <v>7.41</v>
      </c>
      <c r="D50" s="5">
        <v>8.4700000000000006</v>
      </c>
      <c r="E50" s="5">
        <v>10.119999999999999</v>
      </c>
      <c r="F50" s="5">
        <v>12.6</v>
      </c>
      <c r="G50" s="5">
        <v>14.79</v>
      </c>
      <c r="H50" s="5">
        <v>17.72</v>
      </c>
      <c r="I50" s="5">
        <v>121.07</v>
      </c>
      <c r="J50" s="5">
        <v>9.49</v>
      </c>
      <c r="K50" s="5">
        <v>92.52</v>
      </c>
      <c r="L50" s="5">
        <v>15.96</v>
      </c>
      <c r="M50" s="5">
        <v>51.38</v>
      </c>
      <c r="N50" s="5">
        <v>58.03</v>
      </c>
      <c r="O50" s="5">
        <v>67.23</v>
      </c>
      <c r="P50" s="5">
        <v>75.930000000000007</v>
      </c>
    </row>
    <row r="51" spans="1:16" s="1" customFormat="1" ht="15" customHeight="1" x14ac:dyDescent="0.35">
      <c r="A51" s="1">
        <v>35</v>
      </c>
      <c r="B51" s="5">
        <v>6.35</v>
      </c>
      <c r="C51" s="5">
        <v>7.81</v>
      </c>
      <c r="D51" s="5">
        <v>8.75</v>
      </c>
      <c r="E51" s="5">
        <v>10.37</v>
      </c>
      <c r="F51" s="5">
        <v>12.81</v>
      </c>
      <c r="G51" s="5">
        <v>15.17</v>
      </c>
      <c r="H51" s="5">
        <v>17.850000000000001</v>
      </c>
      <c r="I51" s="5">
        <v>124.07</v>
      </c>
      <c r="J51" s="5">
        <v>9.57</v>
      </c>
      <c r="K51" s="5">
        <v>94.81</v>
      </c>
      <c r="L51" s="5">
        <v>16.28</v>
      </c>
      <c r="M51" s="5">
        <v>52.37</v>
      </c>
      <c r="N51" s="5">
        <v>59.08</v>
      </c>
      <c r="O51" s="5">
        <v>68.540000000000006</v>
      </c>
      <c r="P51" s="5">
        <v>77.31</v>
      </c>
    </row>
    <row r="52" spans="1:16" s="1" customFormat="1" ht="15" customHeight="1" x14ac:dyDescent="0.35">
      <c r="A52" s="1">
        <v>36</v>
      </c>
      <c r="B52" s="5">
        <v>6.44</v>
      </c>
      <c r="C52" s="5">
        <v>7.81</v>
      </c>
      <c r="D52" s="5">
        <v>8.82</v>
      </c>
      <c r="E52" s="5">
        <v>10.62</v>
      </c>
      <c r="F52" s="5">
        <v>13.35</v>
      </c>
      <c r="G52" s="5">
        <v>15.68</v>
      </c>
      <c r="H52" s="5">
        <v>18.55</v>
      </c>
      <c r="I52" s="5">
        <v>126.71</v>
      </c>
      <c r="J52" s="5">
        <v>9.7200000000000006</v>
      </c>
      <c r="K52" s="5">
        <v>96.83</v>
      </c>
      <c r="L52" s="5">
        <v>16.53</v>
      </c>
      <c r="M52" s="5">
        <v>53.27</v>
      </c>
      <c r="N52" s="5">
        <v>60.08</v>
      </c>
      <c r="O52" s="5">
        <v>69.709999999999994</v>
      </c>
      <c r="P52" s="5">
        <v>78.62</v>
      </c>
    </row>
    <row r="53" spans="1:16" s="1" customFormat="1" ht="15" customHeight="1" x14ac:dyDescent="0.35">
      <c r="A53" s="1">
        <v>37</v>
      </c>
      <c r="B53" s="5">
        <v>6.54</v>
      </c>
      <c r="C53" s="5">
        <v>7.92</v>
      </c>
      <c r="D53" s="5">
        <v>8.91</v>
      </c>
      <c r="E53" s="5">
        <v>10.86</v>
      </c>
      <c r="F53" s="5">
        <v>13.41</v>
      </c>
      <c r="G53" s="5">
        <v>16.190000000000001</v>
      </c>
      <c r="H53" s="5">
        <v>18.73</v>
      </c>
      <c r="I53" s="5">
        <v>129.62</v>
      </c>
      <c r="J53" s="5">
        <v>9.74</v>
      </c>
      <c r="K53" s="5">
        <v>99.05</v>
      </c>
      <c r="L53" s="5">
        <v>16.79</v>
      </c>
      <c r="M53" s="5">
        <v>54.17</v>
      </c>
      <c r="N53" s="5">
        <v>61.03</v>
      </c>
      <c r="O53" s="5">
        <v>70.89</v>
      </c>
      <c r="P53" s="5">
        <v>79.86</v>
      </c>
    </row>
    <row r="54" spans="1:16" s="1" customFormat="1" ht="15" customHeight="1" x14ac:dyDescent="0.35">
      <c r="A54" s="1">
        <v>38</v>
      </c>
      <c r="B54" s="5">
        <v>6.64</v>
      </c>
      <c r="C54" s="5">
        <v>8.0399999999999991</v>
      </c>
      <c r="D54" s="5">
        <v>9.1999999999999993</v>
      </c>
      <c r="E54" s="5">
        <v>11.12</v>
      </c>
      <c r="F54" s="5">
        <v>13.71</v>
      </c>
      <c r="G54" s="5">
        <v>16.25</v>
      </c>
      <c r="H54" s="5">
        <v>19.079999999999998</v>
      </c>
      <c r="I54" s="5">
        <v>132.72</v>
      </c>
      <c r="J54" s="5">
        <v>9.85</v>
      </c>
      <c r="K54" s="5">
        <v>101.42</v>
      </c>
      <c r="L54" s="5">
        <v>17.04</v>
      </c>
      <c r="M54" s="5">
        <v>55.05</v>
      </c>
      <c r="N54" s="5">
        <v>62.03</v>
      </c>
      <c r="O54" s="5">
        <v>72.03</v>
      </c>
      <c r="P54" s="5">
        <v>81.17</v>
      </c>
    </row>
    <row r="55" spans="1:16" s="1" customFormat="1" ht="15" customHeight="1" x14ac:dyDescent="0.35">
      <c r="A55" s="1">
        <v>39</v>
      </c>
      <c r="B55" s="5">
        <v>6.86</v>
      </c>
      <c r="C55" s="5">
        <v>8.35</v>
      </c>
      <c r="D55" s="5">
        <v>9.59</v>
      </c>
      <c r="E55" s="5">
        <v>11.46</v>
      </c>
      <c r="F55" s="5">
        <v>14.33</v>
      </c>
      <c r="G55" s="5">
        <v>16.89</v>
      </c>
      <c r="H55" s="5">
        <v>19.47</v>
      </c>
      <c r="I55" s="5">
        <v>135.58000000000001</v>
      </c>
      <c r="J55" s="5">
        <v>9.91</v>
      </c>
      <c r="K55" s="5">
        <v>103.61</v>
      </c>
      <c r="L55" s="5">
        <v>17.29</v>
      </c>
      <c r="M55" s="5">
        <v>55.99</v>
      </c>
      <c r="N55" s="5">
        <v>62.98</v>
      </c>
      <c r="O55" s="5">
        <v>73.27</v>
      </c>
      <c r="P55" s="5">
        <v>82.42</v>
      </c>
    </row>
    <row r="56" spans="1:16" s="1" customFormat="1" ht="15" customHeight="1" x14ac:dyDescent="0.35">
      <c r="A56" s="1">
        <v>40</v>
      </c>
      <c r="B56" s="5">
        <v>6.87</v>
      </c>
      <c r="C56" s="5">
        <v>8.3800000000000008</v>
      </c>
      <c r="D56" s="5">
        <v>9.59</v>
      </c>
      <c r="E56" s="5">
        <v>11.46</v>
      </c>
      <c r="F56" s="5">
        <v>14.35</v>
      </c>
      <c r="G56" s="5">
        <v>16.899999999999999</v>
      </c>
      <c r="H56" s="5">
        <v>19.48</v>
      </c>
      <c r="I56" s="5">
        <v>138.47999999999999</v>
      </c>
      <c r="J56" s="5">
        <v>9.99</v>
      </c>
      <c r="K56" s="5">
        <v>105.82</v>
      </c>
      <c r="L56" s="5">
        <v>17.559999999999999</v>
      </c>
      <c r="M56" s="5">
        <v>56.89</v>
      </c>
      <c r="N56" s="5">
        <v>64.069999999999993</v>
      </c>
      <c r="O56" s="5">
        <v>74.45</v>
      </c>
      <c r="P56" s="5">
        <v>83.84</v>
      </c>
    </row>
    <row r="57" spans="1:16" s="1" customFormat="1" ht="15" customHeight="1" x14ac:dyDescent="0.35">
      <c r="A57" s="1">
        <v>41</v>
      </c>
      <c r="B57" s="5">
        <v>7.02</v>
      </c>
      <c r="C57" s="5">
        <v>8.74</v>
      </c>
      <c r="D57" s="5">
        <v>9.8699999999999992</v>
      </c>
      <c r="E57" s="5">
        <v>11.87</v>
      </c>
      <c r="F57" s="5">
        <v>14.95</v>
      </c>
      <c r="G57" s="5">
        <v>17.420000000000002</v>
      </c>
      <c r="H57" s="5">
        <v>20.21</v>
      </c>
      <c r="I57" s="5">
        <v>140.87</v>
      </c>
      <c r="J57" s="5">
        <v>10.11</v>
      </c>
      <c r="K57" s="5">
        <v>107.65</v>
      </c>
      <c r="L57" s="5">
        <v>17.79</v>
      </c>
      <c r="M57" s="5">
        <v>57.83</v>
      </c>
      <c r="N57" s="5">
        <v>65.19</v>
      </c>
      <c r="O57" s="5">
        <v>75.67</v>
      </c>
      <c r="P57" s="5">
        <v>85.3</v>
      </c>
    </row>
    <row r="58" spans="1:16" s="1" customFormat="1" ht="15" customHeight="1" x14ac:dyDescent="0.35">
      <c r="A58" s="1">
        <v>42</v>
      </c>
      <c r="B58" s="5">
        <v>7.03</v>
      </c>
      <c r="C58" s="5">
        <v>8.77</v>
      </c>
      <c r="D58" s="5">
        <v>10.25</v>
      </c>
      <c r="E58" s="5">
        <v>11.91</v>
      </c>
      <c r="F58" s="5">
        <v>15.02</v>
      </c>
      <c r="G58" s="5">
        <v>17.71</v>
      </c>
      <c r="H58" s="5">
        <v>20.309999999999999</v>
      </c>
      <c r="I58" s="5">
        <v>143.53</v>
      </c>
      <c r="J58" s="5">
        <v>10.31</v>
      </c>
      <c r="K58" s="5">
        <v>109.68</v>
      </c>
      <c r="L58" s="5">
        <v>18.09</v>
      </c>
      <c r="M58" s="5">
        <v>58.71</v>
      </c>
      <c r="N58" s="5">
        <v>66.34</v>
      </c>
      <c r="O58" s="5">
        <v>76.83</v>
      </c>
      <c r="P58" s="5">
        <v>86.81</v>
      </c>
    </row>
    <row r="59" spans="1:16" s="1" customFormat="1" ht="15" customHeight="1" x14ac:dyDescent="0.35">
      <c r="A59" s="1">
        <v>43</v>
      </c>
      <c r="B59" s="5">
        <v>7.16</v>
      </c>
      <c r="C59" s="5">
        <v>8.9</v>
      </c>
      <c r="D59" s="5">
        <v>10.27</v>
      </c>
      <c r="E59" s="5">
        <v>12.52</v>
      </c>
      <c r="F59" s="5">
        <v>15.83</v>
      </c>
      <c r="G59" s="5">
        <v>18.36</v>
      </c>
      <c r="H59" s="5">
        <v>20.87</v>
      </c>
      <c r="I59" s="5">
        <v>146.46</v>
      </c>
      <c r="J59" s="5">
        <v>10.42</v>
      </c>
      <c r="K59" s="5">
        <v>111.92</v>
      </c>
      <c r="L59" s="5">
        <v>18.3</v>
      </c>
      <c r="M59" s="5">
        <v>59.59</v>
      </c>
      <c r="N59" s="5">
        <v>67.52</v>
      </c>
      <c r="O59" s="5">
        <v>77.97</v>
      </c>
      <c r="P59" s="5">
        <v>88.35</v>
      </c>
    </row>
    <row r="60" spans="1:16" s="1" customFormat="1" ht="15" customHeight="1" x14ac:dyDescent="0.35">
      <c r="A60" s="1">
        <v>44</v>
      </c>
      <c r="B60" s="5">
        <v>7.26</v>
      </c>
      <c r="C60" s="5">
        <v>9.0299999999999994</v>
      </c>
      <c r="D60" s="5">
        <v>10.54</v>
      </c>
      <c r="E60" s="5">
        <v>12.74</v>
      </c>
      <c r="F60" s="5">
        <v>15.92</v>
      </c>
      <c r="G60" s="5">
        <v>18.93</v>
      </c>
      <c r="H60" s="5">
        <v>21.08</v>
      </c>
      <c r="I60" s="5">
        <v>148.56</v>
      </c>
      <c r="J60" s="5">
        <v>10.57</v>
      </c>
      <c r="K60" s="5">
        <v>113.52</v>
      </c>
      <c r="L60" s="5">
        <v>18.59</v>
      </c>
      <c r="M60" s="5">
        <v>60.53</v>
      </c>
      <c r="N60" s="5">
        <v>68.63</v>
      </c>
      <c r="O60" s="5">
        <v>79.209999999999994</v>
      </c>
      <c r="P60" s="5">
        <v>89.8</v>
      </c>
    </row>
    <row r="61" spans="1:16" s="1" customFormat="1" ht="15" customHeight="1" x14ac:dyDescent="0.35">
      <c r="A61" s="1">
        <v>45</v>
      </c>
      <c r="B61" s="5">
        <v>7.27</v>
      </c>
      <c r="C61" s="5">
        <v>9.0399999999999991</v>
      </c>
      <c r="D61" s="5">
        <v>10.54</v>
      </c>
      <c r="E61" s="5">
        <v>12.74</v>
      </c>
      <c r="F61" s="5">
        <v>15.93</v>
      </c>
      <c r="G61" s="5">
        <v>19.3</v>
      </c>
      <c r="H61" s="5">
        <v>21.23</v>
      </c>
      <c r="I61" s="5">
        <v>151.41999999999999</v>
      </c>
      <c r="J61" s="5">
        <v>10.68</v>
      </c>
      <c r="K61" s="5">
        <v>115.71</v>
      </c>
      <c r="L61" s="5">
        <v>18.82</v>
      </c>
      <c r="M61" s="5">
        <v>61.43</v>
      </c>
      <c r="N61" s="5">
        <v>69.77</v>
      </c>
      <c r="O61" s="5">
        <v>80.38</v>
      </c>
      <c r="P61" s="5">
        <v>91.3</v>
      </c>
    </row>
    <row r="62" spans="1:16" s="1" customFormat="1" ht="15" customHeight="1" x14ac:dyDescent="0.35">
      <c r="A62" s="1">
        <v>46</v>
      </c>
      <c r="B62" s="5">
        <v>7.46</v>
      </c>
      <c r="C62" s="5">
        <v>9.1300000000000008</v>
      </c>
      <c r="D62" s="5">
        <v>10.87</v>
      </c>
      <c r="E62" s="5">
        <v>12.99</v>
      </c>
      <c r="F62" s="5">
        <v>16.350000000000001</v>
      </c>
      <c r="G62" s="5">
        <v>19.5</v>
      </c>
      <c r="H62" s="5">
        <v>21.79</v>
      </c>
      <c r="I62" s="5">
        <v>154.33000000000001</v>
      </c>
      <c r="J62" s="5">
        <v>10.77</v>
      </c>
      <c r="K62" s="5">
        <v>117.94</v>
      </c>
      <c r="L62" s="5">
        <v>19.09</v>
      </c>
      <c r="M62" s="5">
        <v>62.34</v>
      </c>
      <c r="N62" s="5">
        <v>70.900000000000006</v>
      </c>
      <c r="O62" s="5">
        <v>81.58</v>
      </c>
      <c r="P62" s="5">
        <v>92.77</v>
      </c>
    </row>
    <row r="63" spans="1:16" s="1" customFormat="1" ht="15" customHeight="1" x14ac:dyDescent="0.35">
      <c r="A63" s="1">
        <v>47</v>
      </c>
      <c r="B63" s="5">
        <v>7.46</v>
      </c>
      <c r="C63" s="5">
        <v>9.34</v>
      </c>
      <c r="D63" s="5">
        <v>11.05</v>
      </c>
      <c r="E63" s="5">
        <v>13.08</v>
      </c>
      <c r="F63" s="5">
        <v>16.57</v>
      </c>
      <c r="G63" s="5">
        <v>19.88</v>
      </c>
      <c r="H63" s="5">
        <v>22.15</v>
      </c>
      <c r="I63" s="5">
        <v>157.29</v>
      </c>
      <c r="J63" s="5">
        <v>10.94</v>
      </c>
      <c r="K63" s="5">
        <v>120.2</v>
      </c>
      <c r="L63" s="5">
        <v>19.329999999999998</v>
      </c>
      <c r="M63" s="5">
        <v>63.28</v>
      </c>
      <c r="N63" s="5">
        <v>72.05</v>
      </c>
      <c r="O63" s="5">
        <v>82.8</v>
      </c>
      <c r="P63" s="5">
        <v>94.28</v>
      </c>
    </row>
    <row r="64" spans="1:16" s="1" customFormat="1" ht="15" customHeight="1" x14ac:dyDescent="0.35">
      <c r="A64" s="1">
        <v>48</v>
      </c>
      <c r="B64" s="5">
        <v>7.47</v>
      </c>
      <c r="C64" s="5">
        <v>9.34</v>
      </c>
      <c r="D64" s="5">
        <v>11.18</v>
      </c>
      <c r="E64" s="5">
        <v>13.55</v>
      </c>
      <c r="F64" s="5">
        <v>16.82</v>
      </c>
      <c r="G64" s="5">
        <v>20.07</v>
      </c>
      <c r="H64" s="5">
        <v>22.5</v>
      </c>
      <c r="I64" s="5">
        <v>159.99</v>
      </c>
      <c r="J64" s="5">
        <v>11.1</v>
      </c>
      <c r="K64" s="5">
        <v>122.26</v>
      </c>
      <c r="L64" s="5">
        <v>19.66</v>
      </c>
      <c r="M64" s="5">
        <v>64.150000000000006</v>
      </c>
      <c r="N64" s="5">
        <v>73.2</v>
      </c>
      <c r="O64" s="5">
        <v>83.95</v>
      </c>
      <c r="P64" s="5">
        <v>95.79</v>
      </c>
    </row>
    <row r="65" spans="1:16" s="1" customFormat="1" ht="15" customHeight="1" x14ac:dyDescent="0.35">
      <c r="A65" s="1">
        <v>49</v>
      </c>
      <c r="B65" s="5">
        <v>7.47</v>
      </c>
      <c r="C65" s="5">
        <v>9.34</v>
      </c>
      <c r="D65" s="5">
        <v>11.18</v>
      </c>
      <c r="E65" s="5">
        <v>13.55</v>
      </c>
      <c r="F65" s="5">
        <v>16.95</v>
      </c>
      <c r="G65" s="5">
        <v>20.47</v>
      </c>
      <c r="H65" s="5">
        <v>22.63</v>
      </c>
      <c r="I65" s="5">
        <v>162.72</v>
      </c>
      <c r="J65" s="5">
        <v>11.3</v>
      </c>
      <c r="K65" s="5">
        <v>124.35</v>
      </c>
      <c r="L65" s="5">
        <v>19.97</v>
      </c>
      <c r="M65" s="5">
        <v>65.06</v>
      </c>
      <c r="N65" s="5">
        <v>74.23</v>
      </c>
      <c r="O65" s="5">
        <v>85.14</v>
      </c>
      <c r="P65" s="5">
        <v>97.13</v>
      </c>
    </row>
    <row r="66" spans="1:16" s="1" customFormat="1" ht="15" customHeight="1" x14ac:dyDescent="0.35">
      <c r="A66" s="1">
        <v>50</v>
      </c>
      <c r="B66" s="5">
        <v>7.47</v>
      </c>
      <c r="C66" s="5">
        <v>9.34</v>
      </c>
      <c r="D66" s="5">
        <v>11.18</v>
      </c>
      <c r="E66" s="5">
        <v>13.56</v>
      </c>
      <c r="F66" s="5">
        <v>17.09</v>
      </c>
      <c r="G66" s="5">
        <v>20.65</v>
      </c>
      <c r="H66" s="5">
        <v>22.95</v>
      </c>
      <c r="I66" s="5">
        <v>165.45</v>
      </c>
      <c r="J66" s="5">
        <v>11.63</v>
      </c>
      <c r="K66" s="5">
        <v>126.44</v>
      </c>
      <c r="L66" s="5">
        <v>20.29</v>
      </c>
      <c r="M66" s="5">
        <v>65.989999999999995</v>
      </c>
      <c r="N66" s="5">
        <v>75.209999999999994</v>
      </c>
      <c r="O66" s="5">
        <v>86.35</v>
      </c>
      <c r="P66" s="5">
        <v>98.42</v>
      </c>
    </row>
    <row r="67" spans="1:16" s="1" customFormat="1" ht="15" customHeight="1" x14ac:dyDescent="0.35">
      <c r="A67" s="1">
        <v>51</v>
      </c>
      <c r="B67" s="5">
        <v>7.47</v>
      </c>
      <c r="C67" s="5">
        <v>9.35</v>
      </c>
      <c r="D67" s="5">
        <v>11.24</v>
      </c>
      <c r="E67" s="5">
        <v>13.63</v>
      </c>
      <c r="F67" s="5">
        <v>17.3</v>
      </c>
      <c r="G67" s="5">
        <v>20.9</v>
      </c>
      <c r="H67" s="5">
        <v>23.48</v>
      </c>
      <c r="I67" s="5">
        <v>169.77</v>
      </c>
      <c r="J67" s="5">
        <v>11.79</v>
      </c>
      <c r="K67" s="5">
        <v>129.74</v>
      </c>
      <c r="L67" s="5">
        <v>20.64</v>
      </c>
      <c r="M67" s="5">
        <v>67.12</v>
      </c>
      <c r="N67" s="5">
        <v>76.540000000000006</v>
      </c>
      <c r="O67" s="5">
        <v>87.83</v>
      </c>
      <c r="P67" s="5">
        <v>100.16</v>
      </c>
    </row>
    <row r="68" spans="1:16" s="1" customFormat="1" ht="15" customHeight="1" x14ac:dyDescent="0.35">
      <c r="A68" s="1">
        <v>52</v>
      </c>
      <c r="B68" s="5">
        <v>7.48</v>
      </c>
      <c r="C68" s="5">
        <v>9.35</v>
      </c>
      <c r="D68" s="5">
        <v>11.24</v>
      </c>
      <c r="E68" s="5">
        <v>13.64</v>
      </c>
      <c r="F68" s="5">
        <v>17.309999999999999</v>
      </c>
      <c r="G68" s="5">
        <v>20.91</v>
      </c>
      <c r="H68" s="5">
        <v>23.48</v>
      </c>
      <c r="I68" s="5">
        <v>170.12</v>
      </c>
      <c r="J68" s="5">
        <v>12.06</v>
      </c>
      <c r="K68" s="5">
        <v>130</v>
      </c>
      <c r="L68" s="5">
        <v>21.02</v>
      </c>
      <c r="M68" s="5">
        <v>67.87</v>
      </c>
      <c r="N68" s="5">
        <v>77.510000000000005</v>
      </c>
      <c r="O68" s="5">
        <v>88.81</v>
      </c>
      <c r="P68" s="5">
        <v>101.42</v>
      </c>
    </row>
    <row r="69" spans="1:16" s="1" customFormat="1" ht="15" customHeight="1" x14ac:dyDescent="0.35">
      <c r="A69" s="1">
        <v>53</v>
      </c>
      <c r="B69" s="5">
        <v>7.48</v>
      </c>
      <c r="C69" s="5">
        <v>9.35</v>
      </c>
      <c r="D69" s="5">
        <v>11.25</v>
      </c>
      <c r="E69" s="5">
        <v>13.77</v>
      </c>
      <c r="F69" s="5">
        <v>17.309999999999999</v>
      </c>
      <c r="G69" s="5">
        <v>20.91</v>
      </c>
      <c r="H69" s="5">
        <v>23.71</v>
      </c>
      <c r="I69" s="5">
        <v>172.69</v>
      </c>
      <c r="J69" s="5">
        <v>12.18</v>
      </c>
      <c r="K69" s="5">
        <v>131.97</v>
      </c>
      <c r="L69" s="5">
        <v>21.49</v>
      </c>
      <c r="M69" s="5">
        <v>68.63</v>
      </c>
      <c r="N69" s="5">
        <v>78.510000000000005</v>
      </c>
      <c r="O69" s="5">
        <v>89.81</v>
      </c>
      <c r="P69" s="5">
        <v>102.74</v>
      </c>
    </row>
    <row r="70" spans="1:16" s="1" customFormat="1" ht="15" customHeight="1" x14ac:dyDescent="0.35">
      <c r="A70" s="1">
        <v>54</v>
      </c>
      <c r="B70" s="5">
        <v>7.48</v>
      </c>
      <c r="C70" s="5">
        <v>9.36</v>
      </c>
      <c r="D70" s="5">
        <v>11.26</v>
      </c>
      <c r="E70" s="5">
        <v>13.8</v>
      </c>
      <c r="F70" s="5">
        <v>17.32</v>
      </c>
      <c r="G70" s="5">
        <v>20.91</v>
      </c>
      <c r="H70" s="5">
        <v>23.71</v>
      </c>
      <c r="I70" s="5">
        <v>175.14</v>
      </c>
      <c r="J70" s="5">
        <v>12.42</v>
      </c>
      <c r="K70" s="5">
        <v>133.84</v>
      </c>
      <c r="L70" s="5">
        <v>21.66</v>
      </c>
      <c r="M70" s="5">
        <v>69.349999999999994</v>
      </c>
      <c r="N70" s="5">
        <v>79.47</v>
      </c>
      <c r="O70" s="5">
        <v>90.75</v>
      </c>
      <c r="P70" s="5">
        <v>104</v>
      </c>
    </row>
    <row r="71" spans="1:16" s="1" customFormat="1" ht="15" customHeight="1" x14ac:dyDescent="0.35">
      <c r="A71" s="1">
        <v>55</v>
      </c>
      <c r="B71" s="5">
        <v>7.48</v>
      </c>
      <c r="C71" s="5">
        <v>9.36</v>
      </c>
      <c r="D71" s="5">
        <v>11.27</v>
      </c>
      <c r="E71" s="5">
        <v>13.8</v>
      </c>
      <c r="F71" s="5">
        <v>17.32</v>
      </c>
      <c r="G71" s="5">
        <v>20.92</v>
      </c>
      <c r="H71" s="5">
        <v>23.71</v>
      </c>
      <c r="I71" s="5">
        <v>177.49</v>
      </c>
      <c r="J71" s="5">
        <v>12.65</v>
      </c>
      <c r="K71" s="5">
        <v>135.63999999999999</v>
      </c>
      <c r="L71" s="5">
        <v>21.97</v>
      </c>
      <c r="M71" s="5">
        <v>70.12</v>
      </c>
      <c r="N71" s="5">
        <v>80.5</v>
      </c>
      <c r="O71" s="5">
        <v>91.76</v>
      </c>
      <c r="P71" s="5">
        <v>105.34</v>
      </c>
    </row>
    <row r="72" spans="1:16" s="1" customFormat="1" ht="15" customHeight="1" x14ac:dyDescent="0.35">
      <c r="A72" s="1">
        <v>56</v>
      </c>
      <c r="B72" s="5">
        <v>7.49</v>
      </c>
      <c r="C72" s="5">
        <v>9.36</v>
      </c>
      <c r="D72" s="5">
        <v>11.27</v>
      </c>
      <c r="E72" s="5">
        <v>13.8</v>
      </c>
      <c r="F72" s="5">
        <v>17.32</v>
      </c>
      <c r="G72" s="5">
        <v>20.92</v>
      </c>
      <c r="H72" s="5">
        <v>24.01</v>
      </c>
      <c r="I72" s="5">
        <v>179.89</v>
      </c>
      <c r="J72" s="5">
        <v>13.01</v>
      </c>
      <c r="K72" s="5">
        <v>137.47</v>
      </c>
      <c r="L72" s="5">
        <v>22.29</v>
      </c>
      <c r="M72" s="5">
        <v>70.790000000000006</v>
      </c>
      <c r="N72" s="5">
        <v>81.38</v>
      </c>
      <c r="O72" s="5">
        <v>92.63</v>
      </c>
      <c r="P72" s="5">
        <v>106.49</v>
      </c>
    </row>
    <row r="73" spans="1:16" s="1" customFormat="1" ht="15" customHeight="1" x14ac:dyDescent="0.35">
      <c r="A73" s="1">
        <v>57</v>
      </c>
      <c r="B73" s="5">
        <v>7.62</v>
      </c>
      <c r="C73" s="5">
        <v>9.41</v>
      </c>
      <c r="D73" s="5">
        <v>11.27</v>
      </c>
      <c r="E73" s="5">
        <v>14.22</v>
      </c>
      <c r="F73" s="5">
        <v>17.329999999999998</v>
      </c>
      <c r="G73" s="5">
        <v>20.93</v>
      </c>
      <c r="H73" s="5">
        <v>24.25</v>
      </c>
      <c r="I73" s="5">
        <v>182.37</v>
      </c>
      <c r="J73" s="5">
        <v>13.08</v>
      </c>
      <c r="K73" s="5">
        <v>139.36000000000001</v>
      </c>
      <c r="L73" s="5">
        <v>22.59</v>
      </c>
      <c r="M73" s="5">
        <v>71.42</v>
      </c>
      <c r="N73" s="5">
        <v>82.18</v>
      </c>
      <c r="O73" s="5">
        <v>93.46</v>
      </c>
      <c r="P73" s="5">
        <v>107.54</v>
      </c>
    </row>
    <row r="74" spans="1:16" s="1" customFormat="1" ht="15" customHeight="1" x14ac:dyDescent="0.35">
      <c r="A74" s="1">
        <v>58</v>
      </c>
      <c r="B74" s="5">
        <v>7.63</v>
      </c>
      <c r="C74" s="5">
        <v>9.41</v>
      </c>
      <c r="D74" s="5">
        <v>11.28</v>
      </c>
      <c r="E74" s="5">
        <v>14.22</v>
      </c>
      <c r="F74" s="5">
        <v>17.329999999999998</v>
      </c>
      <c r="G74" s="5">
        <v>20.93</v>
      </c>
      <c r="H74" s="5">
        <v>24.47</v>
      </c>
      <c r="I74" s="5">
        <v>184.75</v>
      </c>
      <c r="J74" s="5">
        <v>13.32</v>
      </c>
      <c r="K74" s="5">
        <v>141.18</v>
      </c>
      <c r="L74" s="5">
        <v>22.92</v>
      </c>
      <c r="M74" s="5">
        <v>72.069999999999993</v>
      </c>
      <c r="N74" s="5">
        <v>83.02</v>
      </c>
      <c r="O74" s="5">
        <v>94.31</v>
      </c>
      <c r="P74" s="5">
        <v>108.63</v>
      </c>
    </row>
    <row r="75" spans="1:16" s="1" customFormat="1" ht="15" customHeight="1" x14ac:dyDescent="0.35">
      <c r="A75" s="1">
        <v>59</v>
      </c>
      <c r="B75" s="5">
        <v>7.63</v>
      </c>
      <c r="C75" s="5">
        <v>9.42</v>
      </c>
      <c r="D75" s="5">
        <v>11.36</v>
      </c>
      <c r="E75" s="5">
        <v>14.23</v>
      </c>
      <c r="F75" s="5">
        <v>17.45</v>
      </c>
      <c r="G75" s="5">
        <v>20.93</v>
      </c>
      <c r="H75" s="5">
        <v>24.88</v>
      </c>
      <c r="I75" s="5">
        <v>187.56</v>
      </c>
      <c r="J75" s="5">
        <v>13.57</v>
      </c>
      <c r="K75" s="5">
        <v>143.33000000000001</v>
      </c>
      <c r="L75" s="5">
        <v>23.22</v>
      </c>
      <c r="M75" s="5">
        <v>72.760000000000005</v>
      </c>
      <c r="N75" s="5">
        <v>83.82</v>
      </c>
      <c r="O75" s="5">
        <v>95.22</v>
      </c>
      <c r="P75" s="5">
        <v>109.69</v>
      </c>
    </row>
    <row r="76" spans="1:16" s="1" customFormat="1" ht="15" customHeight="1" x14ac:dyDescent="0.35">
      <c r="A76" s="1">
        <v>60</v>
      </c>
      <c r="B76" s="5">
        <v>7.84</v>
      </c>
      <c r="C76" s="5">
        <v>9.7899999999999991</v>
      </c>
      <c r="D76" s="5">
        <v>11.55</v>
      </c>
      <c r="E76" s="5">
        <v>14.73</v>
      </c>
      <c r="F76" s="5">
        <v>17.78</v>
      </c>
      <c r="G76" s="5">
        <v>21.01</v>
      </c>
      <c r="H76" s="5">
        <v>25.03</v>
      </c>
      <c r="I76" s="5">
        <v>190.48</v>
      </c>
      <c r="J76" s="5">
        <v>13.86</v>
      </c>
      <c r="K76" s="5">
        <v>145.56</v>
      </c>
      <c r="L76" s="5">
        <v>23.54</v>
      </c>
      <c r="M76" s="5">
        <v>73.400000000000006</v>
      </c>
      <c r="N76" s="5">
        <v>84.65</v>
      </c>
      <c r="O76" s="5">
        <v>96.05</v>
      </c>
      <c r="P76" s="5">
        <v>110.77</v>
      </c>
    </row>
    <row r="77" spans="1:16" s="1" customFormat="1" ht="15" customHeight="1" x14ac:dyDescent="0.35">
      <c r="A77" s="1">
        <v>61</v>
      </c>
      <c r="B77" s="5">
        <v>7.85</v>
      </c>
      <c r="C77" s="5">
        <v>9.81</v>
      </c>
      <c r="D77" s="5">
        <v>11.66</v>
      </c>
      <c r="E77" s="5">
        <v>14.77</v>
      </c>
      <c r="F77" s="5">
        <v>17.78</v>
      </c>
      <c r="G77" s="5">
        <v>21.01</v>
      </c>
      <c r="H77" s="5">
        <v>25.03</v>
      </c>
      <c r="I77" s="5">
        <v>192.83</v>
      </c>
      <c r="J77" s="5">
        <v>14.09</v>
      </c>
      <c r="K77" s="5">
        <v>147.36000000000001</v>
      </c>
      <c r="L77" s="5">
        <v>23.84</v>
      </c>
      <c r="M77" s="5">
        <v>74.09</v>
      </c>
      <c r="N77" s="5">
        <v>85.4</v>
      </c>
      <c r="O77" s="5">
        <v>96.95</v>
      </c>
      <c r="P77" s="5">
        <v>111.75</v>
      </c>
    </row>
    <row r="78" spans="1:16" s="1" customFormat="1" ht="15" customHeight="1" x14ac:dyDescent="0.35">
      <c r="A78" s="1">
        <v>62</v>
      </c>
      <c r="B78" s="5">
        <v>8.17</v>
      </c>
      <c r="C78" s="5">
        <v>10.51</v>
      </c>
      <c r="D78" s="5">
        <v>11.85</v>
      </c>
      <c r="E78" s="5">
        <v>15.18</v>
      </c>
      <c r="F78" s="5">
        <v>18.05</v>
      </c>
      <c r="G78" s="5">
        <v>21.33</v>
      </c>
      <c r="H78" s="5">
        <v>25.33</v>
      </c>
      <c r="I78" s="5">
        <v>196</v>
      </c>
      <c r="J78" s="5">
        <v>14.2</v>
      </c>
      <c r="K78" s="5">
        <v>149.78</v>
      </c>
      <c r="L78" s="5">
        <v>24.15</v>
      </c>
      <c r="M78" s="5">
        <v>74.77</v>
      </c>
      <c r="N78" s="5">
        <v>86.11</v>
      </c>
      <c r="O78" s="5">
        <v>97.84</v>
      </c>
      <c r="P78" s="5">
        <v>112.68</v>
      </c>
    </row>
    <row r="79" spans="1:16" s="1" customFormat="1" ht="15" customHeight="1" x14ac:dyDescent="0.35">
      <c r="A79" s="1">
        <v>63</v>
      </c>
      <c r="B79" s="5">
        <v>8.17</v>
      </c>
      <c r="C79" s="5">
        <v>10.52</v>
      </c>
      <c r="D79" s="5">
        <v>11.97</v>
      </c>
      <c r="E79" s="5">
        <v>15.19</v>
      </c>
      <c r="F79" s="5">
        <v>18.18</v>
      </c>
      <c r="G79" s="5">
        <v>21.51</v>
      </c>
      <c r="H79" s="5">
        <v>25.49</v>
      </c>
      <c r="I79" s="5">
        <v>199.21</v>
      </c>
      <c r="J79" s="5">
        <v>14.37</v>
      </c>
      <c r="K79" s="5">
        <v>152.24</v>
      </c>
      <c r="L79" s="5">
        <v>24.47</v>
      </c>
      <c r="M79" s="5">
        <v>75.430000000000007</v>
      </c>
      <c r="N79" s="5">
        <v>86.87</v>
      </c>
      <c r="O79" s="5">
        <v>98.71</v>
      </c>
      <c r="P79" s="5">
        <v>113.68</v>
      </c>
    </row>
    <row r="80" spans="1:16" s="1" customFormat="1" ht="15" customHeight="1" x14ac:dyDescent="0.35">
      <c r="A80" s="1">
        <v>64</v>
      </c>
      <c r="B80" s="5">
        <v>8.39</v>
      </c>
      <c r="C80" s="5">
        <v>10.52</v>
      </c>
      <c r="D80" s="5">
        <v>12.16</v>
      </c>
      <c r="E80" s="5">
        <v>15.19</v>
      </c>
      <c r="F80" s="5">
        <v>18.309999999999999</v>
      </c>
      <c r="G80" s="5">
        <v>21.51</v>
      </c>
      <c r="H80" s="5">
        <v>25.64</v>
      </c>
      <c r="I80" s="5">
        <v>202.53</v>
      </c>
      <c r="J80" s="5">
        <v>14.6</v>
      </c>
      <c r="K80" s="5">
        <v>154.77000000000001</v>
      </c>
      <c r="L80" s="5">
        <v>24.78</v>
      </c>
      <c r="M80" s="5">
        <v>76.05</v>
      </c>
      <c r="N80" s="5">
        <v>87.57</v>
      </c>
      <c r="O80" s="5">
        <v>99.52</v>
      </c>
      <c r="P80" s="5">
        <v>114.59</v>
      </c>
    </row>
    <row r="81" spans="1:16" s="1" customFormat="1" ht="15" customHeight="1" x14ac:dyDescent="0.35">
      <c r="A81" s="1">
        <v>65</v>
      </c>
      <c r="B81" s="5">
        <v>8.48</v>
      </c>
      <c r="C81" s="5">
        <v>10.8</v>
      </c>
      <c r="D81" s="5">
        <v>12.17</v>
      </c>
      <c r="E81" s="5">
        <v>15.2</v>
      </c>
      <c r="F81" s="5">
        <v>18.47</v>
      </c>
      <c r="G81" s="5">
        <v>21.56</v>
      </c>
      <c r="H81" s="5">
        <v>25.69</v>
      </c>
      <c r="I81" s="5">
        <v>205.84</v>
      </c>
      <c r="J81" s="5">
        <v>15</v>
      </c>
      <c r="K81" s="5">
        <v>157.30000000000001</v>
      </c>
      <c r="L81" s="5">
        <v>25.12</v>
      </c>
      <c r="M81" s="5">
        <v>76.7</v>
      </c>
      <c r="N81" s="5">
        <v>88.34</v>
      </c>
      <c r="O81" s="5">
        <v>100.36</v>
      </c>
      <c r="P81" s="5">
        <v>115.6</v>
      </c>
    </row>
    <row r="82" spans="1:16" s="1" customFormat="1" ht="15" customHeight="1" x14ac:dyDescent="0.35">
      <c r="A82" s="1">
        <v>66</v>
      </c>
      <c r="B82" s="5">
        <v>8.52</v>
      </c>
      <c r="C82" s="5">
        <v>10.91</v>
      </c>
      <c r="D82" s="5">
        <v>12.17</v>
      </c>
      <c r="E82" s="5">
        <v>15.2</v>
      </c>
      <c r="F82" s="5">
        <v>18.48</v>
      </c>
      <c r="G82" s="5">
        <v>21.63</v>
      </c>
      <c r="H82" s="5">
        <v>25.8</v>
      </c>
      <c r="I82" s="5">
        <v>209.02</v>
      </c>
      <c r="J82" s="5">
        <v>15.15</v>
      </c>
      <c r="K82" s="5">
        <v>159.72999999999999</v>
      </c>
      <c r="L82" s="5">
        <v>25.43</v>
      </c>
      <c r="M82" s="5">
        <v>77.25</v>
      </c>
      <c r="N82" s="5">
        <v>89.06</v>
      </c>
      <c r="O82" s="5">
        <v>101.08</v>
      </c>
      <c r="P82" s="5">
        <v>116.55</v>
      </c>
    </row>
    <row r="83" spans="1:16" s="1" customFormat="1" ht="15" customHeight="1" x14ac:dyDescent="0.35">
      <c r="A83" s="1">
        <v>67</v>
      </c>
      <c r="B83" s="5">
        <v>8.5299999999999994</v>
      </c>
      <c r="C83" s="5">
        <v>10.91</v>
      </c>
      <c r="D83" s="5">
        <v>12.17</v>
      </c>
      <c r="E83" s="5">
        <v>15.23</v>
      </c>
      <c r="F83" s="5">
        <v>18.62</v>
      </c>
      <c r="G83" s="5">
        <v>21.73</v>
      </c>
      <c r="H83" s="5">
        <v>26.04</v>
      </c>
      <c r="I83" s="5">
        <v>212.2</v>
      </c>
      <c r="J83" s="5">
        <v>15.27</v>
      </c>
      <c r="K83" s="5">
        <v>162.16</v>
      </c>
      <c r="L83" s="5">
        <v>25.73</v>
      </c>
      <c r="M83" s="5">
        <v>77.849999999999994</v>
      </c>
      <c r="N83" s="5">
        <v>89.79</v>
      </c>
      <c r="O83" s="5">
        <v>101.87</v>
      </c>
      <c r="P83" s="5">
        <v>117.5</v>
      </c>
    </row>
    <row r="84" spans="1:16" s="1" customFormat="1" ht="15" customHeight="1" x14ac:dyDescent="0.35">
      <c r="A84" s="1">
        <v>68</v>
      </c>
      <c r="B84" s="5">
        <v>8.6199999999999992</v>
      </c>
      <c r="C84" s="5">
        <v>11.11</v>
      </c>
      <c r="D84" s="5">
        <v>12.91</v>
      </c>
      <c r="E84" s="5">
        <v>15.57</v>
      </c>
      <c r="F84" s="5">
        <v>18.899999999999999</v>
      </c>
      <c r="G84" s="5">
        <v>22.06</v>
      </c>
      <c r="H84" s="5">
        <v>26.04</v>
      </c>
      <c r="I84" s="5">
        <v>215.25</v>
      </c>
      <c r="J84" s="5">
        <v>15.84</v>
      </c>
      <c r="K84" s="5">
        <v>164.49</v>
      </c>
      <c r="L84" s="5">
        <v>26.07</v>
      </c>
      <c r="M84" s="5">
        <v>78.38</v>
      </c>
      <c r="N84" s="5">
        <v>90.55</v>
      </c>
      <c r="O84" s="5">
        <v>102.56</v>
      </c>
      <c r="P84" s="5">
        <v>118.49</v>
      </c>
    </row>
    <row r="85" spans="1:16" s="1" customFormat="1" ht="15" customHeight="1" x14ac:dyDescent="0.35">
      <c r="A85" s="1">
        <v>69</v>
      </c>
      <c r="B85" s="5">
        <v>8.8000000000000007</v>
      </c>
      <c r="C85" s="5">
        <v>11.22</v>
      </c>
      <c r="D85" s="5">
        <v>13.04</v>
      </c>
      <c r="E85" s="5">
        <v>15.68</v>
      </c>
      <c r="F85" s="5">
        <v>19</v>
      </c>
      <c r="G85" s="5">
        <v>22.07</v>
      </c>
      <c r="H85" s="5">
        <v>26.18</v>
      </c>
      <c r="I85" s="5">
        <v>218.38</v>
      </c>
      <c r="J85" s="5">
        <v>15.85</v>
      </c>
      <c r="K85" s="5">
        <v>166.88</v>
      </c>
      <c r="L85" s="5">
        <v>26.38</v>
      </c>
      <c r="M85" s="5">
        <v>78.98</v>
      </c>
      <c r="N85" s="5">
        <v>91.27</v>
      </c>
      <c r="O85" s="5">
        <v>103.36</v>
      </c>
      <c r="P85" s="5">
        <v>119.44</v>
      </c>
    </row>
    <row r="86" spans="1:16" s="1" customFormat="1" ht="15" customHeight="1" x14ac:dyDescent="0.35">
      <c r="A86" s="1">
        <v>70</v>
      </c>
      <c r="B86" s="5">
        <v>8.84</v>
      </c>
      <c r="C86" s="5">
        <v>11.38</v>
      </c>
      <c r="D86" s="5">
        <v>13.32</v>
      </c>
      <c r="E86" s="5">
        <v>16.440000000000001</v>
      </c>
      <c r="F86" s="5">
        <v>19.38</v>
      </c>
      <c r="G86" s="5">
        <v>22.07</v>
      </c>
      <c r="H86" s="5">
        <v>26.4</v>
      </c>
      <c r="I86" s="5">
        <v>222.97</v>
      </c>
      <c r="J86" s="5">
        <v>16.21</v>
      </c>
      <c r="K86" s="5">
        <v>170.39</v>
      </c>
      <c r="L86" s="5">
        <v>26.69</v>
      </c>
      <c r="M86" s="5">
        <v>79.59</v>
      </c>
      <c r="N86" s="5">
        <v>91.99</v>
      </c>
      <c r="O86" s="5">
        <v>104.15</v>
      </c>
      <c r="P86" s="5">
        <v>120.38</v>
      </c>
    </row>
    <row r="87" spans="1:16" s="1" customFormat="1" ht="15" customHeight="1" x14ac:dyDescent="0.35">
      <c r="A87" s="1">
        <v>71</v>
      </c>
      <c r="B87" s="5">
        <v>8.85</v>
      </c>
      <c r="C87" s="5">
        <v>11.38</v>
      </c>
      <c r="D87" s="5">
        <v>13.52</v>
      </c>
      <c r="E87" s="5">
        <v>16.440000000000001</v>
      </c>
      <c r="F87" s="5">
        <v>19.5</v>
      </c>
      <c r="G87" s="5">
        <v>22.43</v>
      </c>
      <c r="H87" s="5">
        <v>26.41</v>
      </c>
      <c r="I87" s="5">
        <v>226.4</v>
      </c>
      <c r="J87" s="5">
        <v>16.41</v>
      </c>
      <c r="K87" s="5">
        <v>173.01</v>
      </c>
      <c r="L87" s="5">
        <v>26.96</v>
      </c>
      <c r="M87" s="5">
        <v>80.13</v>
      </c>
      <c r="N87" s="5">
        <v>92.72</v>
      </c>
      <c r="O87" s="5">
        <v>104.86</v>
      </c>
      <c r="P87" s="5">
        <v>121.33</v>
      </c>
    </row>
    <row r="88" spans="1:16" s="1" customFormat="1" ht="15" customHeight="1" x14ac:dyDescent="0.35">
      <c r="A88" s="1">
        <v>72</v>
      </c>
      <c r="B88" s="5">
        <v>9.1</v>
      </c>
      <c r="C88" s="5">
        <v>11.38</v>
      </c>
      <c r="D88" s="5">
        <v>13.81</v>
      </c>
      <c r="E88" s="5">
        <v>16.45</v>
      </c>
      <c r="F88" s="5">
        <v>19.829999999999998</v>
      </c>
      <c r="G88" s="5">
        <v>23.38</v>
      </c>
      <c r="H88" s="5">
        <v>26.45</v>
      </c>
      <c r="I88" s="5">
        <v>229.77</v>
      </c>
      <c r="J88" s="5">
        <v>17.5</v>
      </c>
      <c r="K88" s="5">
        <v>175.58</v>
      </c>
      <c r="L88" s="5">
        <v>28.18</v>
      </c>
      <c r="M88" s="5">
        <v>80.75</v>
      </c>
      <c r="N88" s="5">
        <v>93.45</v>
      </c>
      <c r="O88" s="5">
        <v>105.66</v>
      </c>
      <c r="P88" s="5">
        <v>122.29</v>
      </c>
    </row>
    <row r="89" spans="1:16" s="1" customFormat="1" ht="15" customHeight="1" x14ac:dyDescent="0.35">
      <c r="A89" s="1">
        <v>73</v>
      </c>
      <c r="B89" s="5">
        <v>9.16</v>
      </c>
      <c r="C89" s="5">
        <v>11.49</v>
      </c>
      <c r="D89" s="5">
        <v>13.81</v>
      </c>
      <c r="E89" s="5">
        <v>16.690000000000001</v>
      </c>
      <c r="F89" s="5">
        <v>20.04</v>
      </c>
      <c r="G89" s="5">
        <v>23.43</v>
      </c>
      <c r="H89" s="5">
        <v>26.45</v>
      </c>
      <c r="I89" s="5">
        <v>233.13</v>
      </c>
      <c r="J89" s="5">
        <v>17.68</v>
      </c>
      <c r="K89" s="5">
        <v>178.16</v>
      </c>
      <c r="L89" s="5">
        <v>29.08</v>
      </c>
      <c r="M89" s="5">
        <v>81.3</v>
      </c>
      <c r="N89" s="5">
        <v>94.21</v>
      </c>
      <c r="O89" s="5">
        <v>106.39</v>
      </c>
      <c r="P89" s="5">
        <v>123.28</v>
      </c>
    </row>
    <row r="90" spans="1:16" s="1" customFormat="1" ht="15" customHeight="1" x14ac:dyDescent="0.35">
      <c r="A90" s="1">
        <v>74</v>
      </c>
      <c r="B90" s="5">
        <v>9.4</v>
      </c>
      <c r="C90" s="5">
        <v>11.49</v>
      </c>
      <c r="D90" s="5">
        <v>13.82</v>
      </c>
      <c r="E90" s="5">
        <v>16.7</v>
      </c>
      <c r="F90" s="5">
        <v>20.350000000000001</v>
      </c>
      <c r="G90" s="5">
        <v>23.43</v>
      </c>
      <c r="H90" s="5">
        <v>26.46</v>
      </c>
      <c r="I90" s="5">
        <v>235.38</v>
      </c>
      <c r="J90" s="5">
        <v>18.95</v>
      </c>
      <c r="K90" s="5">
        <v>179.87</v>
      </c>
      <c r="L90" s="5">
        <v>30.28</v>
      </c>
      <c r="M90" s="5">
        <v>81.97</v>
      </c>
      <c r="N90" s="5">
        <v>94.93</v>
      </c>
      <c r="O90" s="5">
        <v>107.26</v>
      </c>
      <c r="P90" s="5">
        <v>124.22</v>
      </c>
    </row>
    <row r="91" spans="1:16" s="1" customFormat="1" ht="15" customHeight="1" x14ac:dyDescent="0.35">
      <c r="A91" s="1">
        <v>75</v>
      </c>
      <c r="B91" s="5">
        <v>9.75</v>
      </c>
      <c r="C91" s="5">
        <v>11.5</v>
      </c>
      <c r="D91" s="5">
        <v>13.82</v>
      </c>
      <c r="E91" s="5">
        <v>16.829999999999998</v>
      </c>
      <c r="F91" s="5">
        <v>20.350000000000001</v>
      </c>
      <c r="G91" s="5">
        <v>23.67</v>
      </c>
      <c r="H91" s="5">
        <v>26.46</v>
      </c>
      <c r="I91" s="5">
        <v>238.04</v>
      </c>
      <c r="J91" s="5">
        <v>20</v>
      </c>
      <c r="K91" s="5">
        <v>181.91</v>
      </c>
      <c r="L91" s="5">
        <v>30.65</v>
      </c>
      <c r="M91" s="5">
        <v>82.71</v>
      </c>
      <c r="N91" s="5">
        <v>95.7</v>
      </c>
      <c r="O91" s="5">
        <v>108.24</v>
      </c>
      <c r="P91" s="5">
        <v>125.23</v>
      </c>
    </row>
    <row r="92" spans="1:16" s="1" customFormat="1" ht="15" customHeight="1" x14ac:dyDescent="0.35">
      <c r="A92" s="1">
        <v>76</v>
      </c>
      <c r="B92" s="5">
        <v>10.5</v>
      </c>
      <c r="C92" s="5">
        <v>12.14</v>
      </c>
      <c r="D92" s="5">
        <v>13.91</v>
      </c>
      <c r="E92" s="5">
        <v>17.079999999999998</v>
      </c>
      <c r="F92" s="5">
        <v>20.8</v>
      </c>
      <c r="G92" s="5">
        <v>24.05</v>
      </c>
      <c r="H92" s="5">
        <v>26.71</v>
      </c>
      <c r="I92" s="5">
        <v>240.98</v>
      </c>
      <c r="J92" s="5">
        <v>20.73</v>
      </c>
      <c r="K92" s="5">
        <v>184.15</v>
      </c>
      <c r="L92" s="5">
        <v>31.56</v>
      </c>
      <c r="M92" s="5">
        <v>83.47</v>
      </c>
      <c r="N92" s="5">
        <v>96.41</v>
      </c>
      <c r="O92" s="5">
        <v>109.23</v>
      </c>
      <c r="P92" s="5">
        <v>126.16</v>
      </c>
    </row>
    <row r="93" spans="1:16" s="1" customFormat="1" ht="15" customHeight="1" x14ac:dyDescent="0.35">
      <c r="A93" s="1">
        <v>77</v>
      </c>
      <c r="B93" s="5">
        <v>10.91</v>
      </c>
      <c r="C93" s="5">
        <v>12.32</v>
      </c>
      <c r="D93" s="5">
        <v>14.07</v>
      </c>
      <c r="E93" s="5">
        <v>17.16</v>
      </c>
      <c r="F93" s="5">
        <v>20.92</v>
      </c>
      <c r="G93" s="5">
        <v>24.73</v>
      </c>
      <c r="H93" s="5">
        <v>26.71</v>
      </c>
      <c r="I93" s="5">
        <v>242.96</v>
      </c>
      <c r="J93" s="5">
        <v>21.58</v>
      </c>
      <c r="K93" s="5">
        <v>185.67</v>
      </c>
      <c r="L93" s="5">
        <v>32.75</v>
      </c>
      <c r="M93" s="5">
        <v>84.2</v>
      </c>
      <c r="N93" s="5">
        <v>97.18</v>
      </c>
      <c r="O93" s="5">
        <v>110.18</v>
      </c>
      <c r="P93" s="5">
        <v>127.17</v>
      </c>
    </row>
    <row r="94" spans="1:16" s="1" customFormat="1" ht="15" customHeight="1" x14ac:dyDescent="0.35">
      <c r="A94" s="1">
        <v>78</v>
      </c>
      <c r="B94" s="5">
        <v>10.92</v>
      </c>
      <c r="C94" s="5">
        <v>12.78</v>
      </c>
      <c r="D94" s="5">
        <v>14.48</v>
      </c>
      <c r="E94" s="5">
        <v>17.34</v>
      </c>
      <c r="F94" s="5">
        <v>21.05</v>
      </c>
      <c r="G94" s="5">
        <v>24.92</v>
      </c>
      <c r="H94" s="5">
        <v>26.72</v>
      </c>
      <c r="I94" s="5">
        <v>244.27</v>
      </c>
      <c r="J94" s="5">
        <v>22.47</v>
      </c>
      <c r="K94" s="5">
        <v>186.67</v>
      </c>
      <c r="L94" s="5">
        <v>33.69</v>
      </c>
      <c r="M94" s="5">
        <v>85.04</v>
      </c>
      <c r="N94" s="5">
        <v>97.88</v>
      </c>
      <c r="O94" s="5">
        <v>111.29</v>
      </c>
      <c r="P94" s="5">
        <v>128.08000000000001</v>
      </c>
    </row>
    <row r="95" spans="1:16" s="1" customFormat="1" ht="15" customHeight="1" x14ac:dyDescent="0.35">
      <c r="A95" s="1">
        <v>79</v>
      </c>
      <c r="B95" s="5">
        <v>11.42</v>
      </c>
      <c r="C95" s="5">
        <v>13.31</v>
      </c>
      <c r="D95" s="5">
        <v>14.84</v>
      </c>
      <c r="E95" s="5">
        <v>17.62</v>
      </c>
      <c r="F95" s="5">
        <v>21.49</v>
      </c>
      <c r="G95" s="5">
        <v>25.3</v>
      </c>
      <c r="H95" s="5">
        <v>27.15</v>
      </c>
      <c r="I95" s="5">
        <v>244.31</v>
      </c>
      <c r="J95" s="5">
        <v>23.37</v>
      </c>
      <c r="K95" s="5">
        <v>186.7</v>
      </c>
      <c r="L95" s="5">
        <v>34.6</v>
      </c>
      <c r="M95" s="5">
        <v>85.89</v>
      </c>
      <c r="N95" s="5">
        <v>98.66</v>
      </c>
      <c r="O95" s="5">
        <v>112.39</v>
      </c>
      <c r="P95" s="5">
        <v>129.1</v>
      </c>
    </row>
    <row r="96" spans="1:16" s="1" customFormat="1" ht="15" customHeight="1" x14ac:dyDescent="0.35">
      <c r="A96" s="1">
        <v>80</v>
      </c>
      <c r="B96" s="5">
        <v>11.73</v>
      </c>
      <c r="C96" s="5">
        <v>13.57</v>
      </c>
      <c r="D96" s="5">
        <v>14.91</v>
      </c>
      <c r="E96" s="5">
        <v>18.04</v>
      </c>
      <c r="F96" s="5">
        <v>21.85</v>
      </c>
      <c r="G96" s="5">
        <v>25.65</v>
      </c>
      <c r="H96" s="5">
        <v>27.36</v>
      </c>
      <c r="I96" s="5">
        <v>246.86</v>
      </c>
      <c r="J96" s="5">
        <v>24.47</v>
      </c>
      <c r="K96" s="5">
        <v>188.65</v>
      </c>
      <c r="L96" s="5">
        <v>35.21</v>
      </c>
      <c r="M96" s="5">
        <v>86.7</v>
      </c>
      <c r="N96" s="5">
        <v>99.35</v>
      </c>
      <c r="O96" s="5">
        <v>113.46</v>
      </c>
      <c r="P96" s="5">
        <v>130.01</v>
      </c>
    </row>
    <row r="97" spans="1:16" s="1" customFormat="1" ht="15" customHeight="1" x14ac:dyDescent="0.35">
      <c r="A97" s="1">
        <v>81</v>
      </c>
      <c r="B97" s="5">
        <v>12.01</v>
      </c>
      <c r="C97" s="5">
        <v>13.68</v>
      </c>
      <c r="D97" s="5">
        <v>15.27</v>
      </c>
      <c r="E97" s="5">
        <v>18.16</v>
      </c>
      <c r="F97" s="5">
        <v>22.13</v>
      </c>
      <c r="G97" s="5">
        <v>25.81</v>
      </c>
      <c r="H97" s="5">
        <v>27.45</v>
      </c>
      <c r="I97" s="5">
        <v>248.93</v>
      </c>
      <c r="J97" s="5">
        <v>24.89</v>
      </c>
      <c r="K97" s="5">
        <v>190.23</v>
      </c>
      <c r="L97" s="5">
        <v>37.130000000000003</v>
      </c>
      <c r="M97" s="5">
        <v>87.52</v>
      </c>
      <c r="N97" s="5">
        <v>100.12</v>
      </c>
      <c r="O97" s="5">
        <v>114.53</v>
      </c>
      <c r="P97" s="5">
        <v>131.01</v>
      </c>
    </row>
    <row r="98" spans="1:16" s="1" customFormat="1" ht="15" customHeight="1" x14ac:dyDescent="0.35">
      <c r="A98" s="1">
        <v>82</v>
      </c>
      <c r="B98" s="5">
        <v>12.4</v>
      </c>
      <c r="C98" s="5">
        <v>14.01</v>
      </c>
      <c r="D98" s="5">
        <v>15.96</v>
      </c>
      <c r="E98" s="5">
        <v>18.62</v>
      </c>
      <c r="F98" s="5">
        <v>22.19</v>
      </c>
      <c r="G98" s="5">
        <v>26.48</v>
      </c>
      <c r="H98" s="5">
        <v>27.46</v>
      </c>
      <c r="I98" s="5">
        <v>250.17</v>
      </c>
      <c r="J98" s="5">
        <v>26.54</v>
      </c>
      <c r="K98" s="5">
        <v>191.18</v>
      </c>
      <c r="L98" s="5">
        <v>37.700000000000003</v>
      </c>
      <c r="M98" s="5">
        <v>88.27</v>
      </c>
      <c r="N98" s="5">
        <v>100.83</v>
      </c>
      <c r="O98" s="5">
        <v>115.51</v>
      </c>
      <c r="P98" s="5">
        <v>131.94999999999999</v>
      </c>
    </row>
    <row r="99" spans="1:16" s="1" customFormat="1" ht="15" customHeight="1" x14ac:dyDescent="0.35">
      <c r="A99" s="1">
        <v>83</v>
      </c>
      <c r="B99" s="5">
        <v>12.41</v>
      </c>
      <c r="C99" s="5">
        <v>14.02</v>
      </c>
      <c r="D99" s="5">
        <v>15.96</v>
      </c>
      <c r="E99" s="5">
        <v>18.62</v>
      </c>
      <c r="F99" s="5">
        <v>22.26</v>
      </c>
      <c r="G99" s="5">
        <v>26.48</v>
      </c>
      <c r="H99" s="5">
        <v>27.46</v>
      </c>
      <c r="I99" s="5">
        <v>252.9</v>
      </c>
      <c r="J99" s="5">
        <v>27.44</v>
      </c>
      <c r="K99" s="5">
        <v>193.26</v>
      </c>
      <c r="L99" s="5">
        <v>38.28</v>
      </c>
      <c r="M99" s="5">
        <v>89.02</v>
      </c>
      <c r="N99" s="5">
        <v>101.61</v>
      </c>
      <c r="O99" s="5">
        <v>116.49</v>
      </c>
      <c r="P99" s="5">
        <v>132.96</v>
      </c>
    </row>
    <row r="100" spans="1:16" s="1" customFormat="1" ht="15" customHeight="1" x14ac:dyDescent="0.35">
      <c r="A100" s="1">
        <v>84</v>
      </c>
      <c r="B100" s="5">
        <v>12.9</v>
      </c>
      <c r="C100" s="5">
        <v>14.57</v>
      </c>
      <c r="D100" s="5">
        <v>16.43</v>
      </c>
      <c r="E100" s="5">
        <v>18.809999999999999</v>
      </c>
      <c r="F100" s="5">
        <v>22.8</v>
      </c>
      <c r="G100" s="5">
        <v>26.79</v>
      </c>
      <c r="H100" s="5">
        <v>27.67</v>
      </c>
      <c r="I100" s="5">
        <v>255.82</v>
      </c>
      <c r="J100" s="5">
        <v>27.53</v>
      </c>
      <c r="K100" s="5">
        <v>195.49</v>
      </c>
      <c r="L100" s="5">
        <v>39.24</v>
      </c>
      <c r="M100" s="5">
        <v>89.78</v>
      </c>
      <c r="N100" s="5">
        <v>102.33</v>
      </c>
      <c r="O100" s="5">
        <v>117.49</v>
      </c>
      <c r="P100" s="5">
        <v>133.91</v>
      </c>
    </row>
    <row r="101" spans="1:16" s="1" customFormat="1" ht="15" customHeight="1" x14ac:dyDescent="0.35">
      <c r="A101" s="1">
        <v>85</v>
      </c>
      <c r="B101" s="5">
        <v>13.25</v>
      </c>
      <c r="C101" s="5">
        <v>14.57</v>
      </c>
      <c r="D101" s="5">
        <v>16.440000000000001</v>
      </c>
      <c r="E101" s="5">
        <v>19.11</v>
      </c>
      <c r="F101" s="5">
        <v>22.94</v>
      </c>
      <c r="G101" s="5">
        <v>27.08</v>
      </c>
      <c r="H101" s="5">
        <v>27.97</v>
      </c>
      <c r="I101" s="5">
        <v>258.8</v>
      </c>
      <c r="J101" s="5">
        <v>28.69</v>
      </c>
      <c r="K101" s="5">
        <v>197.77</v>
      </c>
      <c r="L101" s="5">
        <v>40.51</v>
      </c>
      <c r="M101" s="5">
        <v>90.52</v>
      </c>
      <c r="N101" s="5">
        <v>103.07</v>
      </c>
      <c r="O101" s="5">
        <v>118.46</v>
      </c>
      <c r="P101" s="5">
        <v>134.88</v>
      </c>
    </row>
    <row r="102" spans="1:16" s="1" customFormat="1" ht="15" customHeight="1" x14ac:dyDescent="0.35">
      <c r="A102" s="1">
        <v>86</v>
      </c>
      <c r="B102" s="5">
        <v>13.73</v>
      </c>
      <c r="C102" s="5">
        <v>15.38</v>
      </c>
      <c r="D102" s="5">
        <v>17.079999999999998</v>
      </c>
      <c r="E102" s="5">
        <v>19.47</v>
      </c>
      <c r="F102" s="5">
        <v>23.43</v>
      </c>
      <c r="G102" s="5">
        <v>27.85</v>
      </c>
      <c r="H102" s="5">
        <v>28.83</v>
      </c>
      <c r="I102" s="5">
        <v>261.51</v>
      </c>
      <c r="J102" s="5">
        <v>29.55</v>
      </c>
      <c r="K102" s="5">
        <v>199.84</v>
      </c>
      <c r="L102" s="5">
        <v>40.65</v>
      </c>
      <c r="M102" s="5">
        <v>91.34</v>
      </c>
      <c r="N102" s="5">
        <v>103.77</v>
      </c>
      <c r="O102" s="5">
        <v>119.53</v>
      </c>
      <c r="P102" s="5">
        <v>135.79</v>
      </c>
    </row>
    <row r="103" spans="1:16" s="1" customFormat="1" ht="15" customHeight="1" x14ac:dyDescent="0.35">
      <c r="A103" s="1">
        <v>87</v>
      </c>
      <c r="B103" s="5">
        <v>14.01</v>
      </c>
      <c r="C103" s="5">
        <v>15.39</v>
      </c>
      <c r="D103" s="5">
        <v>17.079999999999998</v>
      </c>
      <c r="E103" s="5">
        <v>19.47</v>
      </c>
      <c r="F103" s="5">
        <v>23.74</v>
      </c>
      <c r="G103" s="5">
        <v>27.87</v>
      </c>
      <c r="H103" s="5">
        <v>28.87</v>
      </c>
      <c r="I103" s="5">
        <v>264.45999999999998</v>
      </c>
      <c r="J103" s="5">
        <v>30.17</v>
      </c>
      <c r="K103" s="5">
        <v>202.1</v>
      </c>
      <c r="L103" s="5">
        <v>41.94</v>
      </c>
      <c r="M103" s="5">
        <v>92.17</v>
      </c>
      <c r="N103" s="5">
        <v>104.54</v>
      </c>
      <c r="O103" s="5">
        <v>120.61</v>
      </c>
      <c r="P103" s="5">
        <v>136.81</v>
      </c>
    </row>
    <row r="104" spans="1:16" s="1" customFormat="1" ht="15" customHeight="1" x14ac:dyDescent="0.35">
      <c r="A104" s="1">
        <v>88</v>
      </c>
      <c r="B104" s="5">
        <v>14.59</v>
      </c>
      <c r="C104" s="5">
        <v>15.73</v>
      </c>
      <c r="D104" s="5">
        <v>17.62</v>
      </c>
      <c r="E104" s="5">
        <v>20.100000000000001</v>
      </c>
      <c r="F104" s="5">
        <v>23.83</v>
      </c>
      <c r="G104" s="5">
        <v>27.9</v>
      </c>
      <c r="H104" s="5">
        <v>29.19</v>
      </c>
      <c r="I104" s="5">
        <v>267.38</v>
      </c>
      <c r="J104" s="5">
        <v>31.32</v>
      </c>
      <c r="K104" s="5">
        <v>204.33</v>
      </c>
      <c r="L104" s="5">
        <v>42.5</v>
      </c>
      <c r="M104" s="5">
        <v>93</v>
      </c>
      <c r="N104" s="5">
        <v>105.23</v>
      </c>
      <c r="O104" s="5">
        <v>121.7</v>
      </c>
      <c r="P104" s="5">
        <v>137.69999999999999</v>
      </c>
    </row>
    <row r="105" spans="1:16" s="1" customFormat="1" ht="15" customHeight="1" x14ac:dyDescent="0.35">
      <c r="A105" s="1">
        <v>89</v>
      </c>
      <c r="B105" s="5">
        <v>15.25</v>
      </c>
      <c r="C105" s="5">
        <v>16.170000000000002</v>
      </c>
      <c r="D105" s="5">
        <v>17.97</v>
      </c>
      <c r="E105" s="5">
        <v>20.16</v>
      </c>
      <c r="F105" s="5">
        <v>24.35</v>
      </c>
      <c r="G105" s="5">
        <v>28.19</v>
      </c>
      <c r="H105" s="5">
        <v>29.8</v>
      </c>
      <c r="I105" s="5">
        <v>270.18</v>
      </c>
      <c r="J105" s="5">
        <v>31.63</v>
      </c>
      <c r="K105" s="5">
        <v>206.47</v>
      </c>
      <c r="L105" s="5">
        <v>43.8</v>
      </c>
      <c r="M105" s="5">
        <v>93.75</v>
      </c>
      <c r="N105" s="5">
        <v>105.98</v>
      </c>
      <c r="O105" s="5">
        <v>122.68</v>
      </c>
      <c r="P105" s="5">
        <v>138.69</v>
      </c>
    </row>
    <row r="106" spans="1:16" s="1" customFormat="1" ht="15" customHeight="1" x14ac:dyDescent="0.35">
      <c r="A106" s="1">
        <v>90</v>
      </c>
      <c r="B106" s="5">
        <v>16.18</v>
      </c>
      <c r="C106" s="5">
        <v>16.87</v>
      </c>
      <c r="D106" s="5">
        <v>18.739999999999998</v>
      </c>
      <c r="E106" s="5">
        <v>20.75</v>
      </c>
      <c r="F106" s="5">
        <v>24.69</v>
      </c>
      <c r="G106" s="5">
        <v>28.84</v>
      </c>
      <c r="H106" s="5">
        <v>30.39</v>
      </c>
      <c r="I106" s="5">
        <v>272.89999999999998</v>
      </c>
      <c r="J106" s="5">
        <v>33.72</v>
      </c>
      <c r="K106" s="5">
        <v>208.55</v>
      </c>
      <c r="L106" s="5">
        <v>44.34</v>
      </c>
      <c r="M106" s="5">
        <v>94.51</v>
      </c>
      <c r="N106" s="5">
        <v>106.72</v>
      </c>
      <c r="O106" s="5">
        <v>123.68</v>
      </c>
      <c r="P106" s="5">
        <v>139.65</v>
      </c>
    </row>
    <row r="107" spans="1:16" s="1" customFormat="1" ht="15" customHeight="1" x14ac:dyDescent="0.35">
      <c r="A107" s="1">
        <v>91</v>
      </c>
      <c r="B107" s="5">
        <v>16.18</v>
      </c>
      <c r="C107" s="5">
        <v>16.87</v>
      </c>
      <c r="D107" s="5">
        <v>18.75</v>
      </c>
      <c r="E107" s="5">
        <v>20.76</v>
      </c>
      <c r="F107" s="5">
        <v>24.69</v>
      </c>
      <c r="G107" s="5">
        <v>28.84</v>
      </c>
      <c r="H107" s="5">
        <v>30.39</v>
      </c>
      <c r="I107" s="5">
        <v>275.82</v>
      </c>
      <c r="J107" s="5">
        <v>34.03</v>
      </c>
      <c r="K107" s="5">
        <v>210.78</v>
      </c>
      <c r="L107" s="5">
        <v>45.21</v>
      </c>
      <c r="M107" s="5">
        <v>95.26</v>
      </c>
      <c r="N107" s="5">
        <v>107.46</v>
      </c>
      <c r="O107" s="5">
        <v>124.65</v>
      </c>
      <c r="P107" s="5">
        <v>140.63</v>
      </c>
    </row>
    <row r="108" spans="1:16" s="1" customFormat="1" ht="15" customHeight="1" x14ac:dyDescent="0.35">
      <c r="A108" s="1">
        <v>92</v>
      </c>
      <c r="B108" s="5">
        <v>16.54</v>
      </c>
      <c r="C108" s="5">
        <v>17.03</v>
      </c>
      <c r="D108" s="5">
        <v>18.850000000000001</v>
      </c>
      <c r="E108" s="5">
        <v>20.96</v>
      </c>
      <c r="F108" s="5">
        <v>25</v>
      </c>
      <c r="G108" s="5">
        <v>28.85</v>
      </c>
      <c r="H108" s="5">
        <v>30.48</v>
      </c>
      <c r="I108" s="5">
        <v>278.45</v>
      </c>
      <c r="J108" s="5">
        <v>35.21</v>
      </c>
      <c r="K108" s="5">
        <v>212.79</v>
      </c>
      <c r="L108" s="5">
        <v>46.58</v>
      </c>
      <c r="M108" s="5">
        <v>95.99</v>
      </c>
      <c r="N108" s="5">
        <v>108.2</v>
      </c>
      <c r="O108" s="5">
        <v>125.61</v>
      </c>
      <c r="P108" s="5">
        <v>141.59</v>
      </c>
    </row>
    <row r="109" spans="1:16" s="1" customFormat="1" ht="15" customHeight="1" x14ac:dyDescent="0.35">
      <c r="A109" s="1">
        <v>93</v>
      </c>
      <c r="B109" s="5">
        <v>16.760000000000002</v>
      </c>
      <c r="C109" s="5">
        <v>17.2</v>
      </c>
      <c r="D109" s="5">
        <v>19.2</v>
      </c>
      <c r="E109" s="5">
        <v>20.96</v>
      </c>
      <c r="F109" s="5">
        <v>25</v>
      </c>
      <c r="G109" s="5">
        <v>28.85</v>
      </c>
      <c r="H109" s="5">
        <v>30.48</v>
      </c>
      <c r="I109" s="5">
        <v>281.17</v>
      </c>
      <c r="J109" s="5">
        <v>35.450000000000003</v>
      </c>
      <c r="K109" s="5">
        <v>214.86</v>
      </c>
      <c r="L109" s="5">
        <v>47.5</v>
      </c>
      <c r="M109" s="5">
        <v>96.76</v>
      </c>
      <c r="N109" s="5">
        <v>108.93</v>
      </c>
      <c r="O109" s="5">
        <v>126.62</v>
      </c>
      <c r="P109" s="5">
        <v>142.55000000000001</v>
      </c>
    </row>
    <row r="110" spans="1:16" s="1" customFormat="1" ht="15" customHeight="1" x14ac:dyDescent="0.35">
      <c r="A110" s="1">
        <v>94</v>
      </c>
      <c r="B110" s="5">
        <v>16.84</v>
      </c>
      <c r="C110" s="5">
        <v>17.649999999999999</v>
      </c>
      <c r="D110" s="5">
        <v>19.3</v>
      </c>
      <c r="E110" s="5">
        <v>21.23</v>
      </c>
      <c r="F110" s="5">
        <v>25.53</v>
      </c>
      <c r="G110" s="5">
        <v>28.85</v>
      </c>
      <c r="H110" s="5">
        <v>31.09</v>
      </c>
      <c r="I110" s="5">
        <v>283.82</v>
      </c>
      <c r="J110" s="5">
        <v>36.659999999999997</v>
      </c>
      <c r="K110" s="5">
        <v>216.89</v>
      </c>
      <c r="L110" s="5">
        <v>48.88</v>
      </c>
      <c r="M110" s="5">
        <v>97.5</v>
      </c>
      <c r="N110" s="5">
        <v>109.68</v>
      </c>
      <c r="O110" s="5">
        <v>127.58</v>
      </c>
      <c r="P110" s="5">
        <v>143.52000000000001</v>
      </c>
    </row>
    <row r="111" spans="1:16" s="1" customFormat="1" ht="15" customHeight="1" x14ac:dyDescent="0.35">
      <c r="A111" s="1">
        <v>95</v>
      </c>
      <c r="B111" s="5">
        <v>17.07</v>
      </c>
      <c r="C111" s="5">
        <v>17.809999999999999</v>
      </c>
      <c r="D111" s="5">
        <v>19.43</v>
      </c>
      <c r="E111" s="5">
        <v>21.52</v>
      </c>
      <c r="F111" s="5">
        <v>25.6</v>
      </c>
      <c r="G111" s="5">
        <v>28.95</v>
      </c>
      <c r="H111" s="5">
        <v>31.42</v>
      </c>
      <c r="I111" s="5">
        <v>286.58</v>
      </c>
      <c r="J111" s="5">
        <v>37.549999999999997</v>
      </c>
      <c r="K111" s="5">
        <v>219</v>
      </c>
      <c r="L111" s="5">
        <v>48.91</v>
      </c>
      <c r="M111" s="5">
        <v>98.33</v>
      </c>
      <c r="N111" s="5">
        <v>110.38</v>
      </c>
      <c r="O111" s="5">
        <v>128.66999999999999</v>
      </c>
      <c r="P111" s="5">
        <v>144.44</v>
      </c>
    </row>
    <row r="112" spans="1:16" s="1" customFormat="1" ht="15" customHeight="1" x14ac:dyDescent="0.35">
      <c r="A112" s="1">
        <v>96</v>
      </c>
      <c r="B112" s="5">
        <v>17.62</v>
      </c>
      <c r="C112" s="5">
        <v>17.93</v>
      </c>
      <c r="D112" s="5">
        <v>20.14</v>
      </c>
      <c r="E112" s="5">
        <v>21.76</v>
      </c>
      <c r="F112" s="5">
        <v>25.61</v>
      </c>
      <c r="G112" s="5">
        <v>28.96</v>
      </c>
      <c r="H112" s="5">
        <v>31.73</v>
      </c>
      <c r="I112" s="5">
        <v>289.2</v>
      </c>
      <c r="J112" s="5">
        <v>38.049999999999997</v>
      </c>
      <c r="K112" s="5">
        <v>221</v>
      </c>
      <c r="L112" s="5">
        <v>50.75</v>
      </c>
      <c r="M112" s="5">
        <v>99.13</v>
      </c>
      <c r="N112" s="5">
        <v>111.12</v>
      </c>
      <c r="O112" s="5">
        <v>129.72999999999999</v>
      </c>
      <c r="P112" s="5">
        <v>145.41</v>
      </c>
    </row>
    <row r="113" spans="1:16" s="1" customFormat="1" ht="15" customHeight="1" x14ac:dyDescent="0.35">
      <c r="A113" s="1">
        <v>97</v>
      </c>
      <c r="B113" s="5">
        <v>18.2</v>
      </c>
      <c r="C113" s="5">
        <v>18.63</v>
      </c>
      <c r="D113" s="5">
        <v>20.43</v>
      </c>
      <c r="E113" s="5">
        <v>22.11</v>
      </c>
      <c r="F113" s="5">
        <v>26.16</v>
      </c>
      <c r="G113" s="5">
        <v>29.37</v>
      </c>
      <c r="H113" s="5">
        <v>32.36</v>
      </c>
      <c r="I113" s="5">
        <v>291.95999999999998</v>
      </c>
      <c r="J113" s="5">
        <v>39.69</v>
      </c>
      <c r="K113" s="5">
        <v>223.11</v>
      </c>
      <c r="L113" s="5">
        <v>51.26</v>
      </c>
      <c r="M113" s="5">
        <v>99.99</v>
      </c>
      <c r="N113" s="5">
        <v>111.87</v>
      </c>
      <c r="O113" s="5">
        <v>130.84</v>
      </c>
      <c r="P113" s="5">
        <v>146.38999999999999</v>
      </c>
    </row>
    <row r="114" spans="1:16" s="1" customFormat="1" ht="15" customHeight="1" x14ac:dyDescent="0.35">
      <c r="A114" s="1">
        <v>98</v>
      </c>
      <c r="B114" s="5">
        <v>18.440000000000001</v>
      </c>
      <c r="C114" s="5">
        <v>18.75</v>
      </c>
      <c r="D114" s="5">
        <v>20.43</v>
      </c>
      <c r="E114" s="5">
        <v>22.36</v>
      </c>
      <c r="F114" s="5">
        <v>26.45</v>
      </c>
      <c r="G114" s="5">
        <v>29.38</v>
      </c>
      <c r="H114" s="5">
        <v>32.36</v>
      </c>
      <c r="I114" s="5">
        <v>294.55</v>
      </c>
      <c r="J114" s="5">
        <v>40.57</v>
      </c>
      <c r="K114" s="5">
        <v>225.09</v>
      </c>
      <c r="L114" s="5">
        <v>52.03</v>
      </c>
      <c r="M114" s="5">
        <v>100.81</v>
      </c>
      <c r="N114" s="5">
        <v>112.63</v>
      </c>
      <c r="O114" s="5">
        <v>131.91999999999999</v>
      </c>
      <c r="P114" s="5">
        <v>147.38999999999999</v>
      </c>
    </row>
    <row r="115" spans="1:16" s="1" customFormat="1" ht="15" customHeight="1" x14ac:dyDescent="0.35">
      <c r="A115" s="1">
        <v>99</v>
      </c>
      <c r="B115" s="5">
        <v>18.690000000000001</v>
      </c>
      <c r="C115" s="5">
        <v>18.86</v>
      </c>
      <c r="D115" s="5">
        <v>20.81</v>
      </c>
      <c r="E115" s="5">
        <v>22.65</v>
      </c>
      <c r="F115" s="5">
        <v>26.51</v>
      </c>
      <c r="G115" s="5">
        <v>29.67</v>
      </c>
      <c r="H115" s="5">
        <v>32.69</v>
      </c>
      <c r="I115" s="5">
        <v>297.31</v>
      </c>
      <c r="J115" s="5">
        <v>41.08</v>
      </c>
      <c r="K115" s="5">
        <v>227.2</v>
      </c>
      <c r="L115" s="5">
        <v>53.03</v>
      </c>
      <c r="M115" s="5">
        <v>101.54</v>
      </c>
      <c r="N115" s="5">
        <v>113.35</v>
      </c>
      <c r="O115" s="5">
        <v>132.88</v>
      </c>
      <c r="P115" s="5">
        <v>148.33000000000001</v>
      </c>
    </row>
    <row r="116" spans="1:16" s="1" customFormat="1" ht="15" customHeight="1" x14ac:dyDescent="0.35">
      <c r="A116" s="1">
        <v>100</v>
      </c>
      <c r="B116" s="5">
        <v>19.010000000000002</v>
      </c>
      <c r="C116" s="5">
        <v>19.18</v>
      </c>
      <c r="D116" s="5">
        <v>21.01</v>
      </c>
      <c r="E116" s="5">
        <v>22.77</v>
      </c>
      <c r="F116" s="5">
        <v>26.8</v>
      </c>
      <c r="G116" s="5">
        <v>29.69</v>
      </c>
      <c r="H116" s="5">
        <v>32.71</v>
      </c>
      <c r="I116" s="5">
        <v>300.07</v>
      </c>
      <c r="J116" s="5">
        <v>41.99</v>
      </c>
      <c r="K116" s="5">
        <v>229.31</v>
      </c>
      <c r="L116" s="5">
        <v>53.94</v>
      </c>
      <c r="M116" s="5">
        <v>102.3</v>
      </c>
      <c r="N116" s="5">
        <v>114.08</v>
      </c>
      <c r="O116" s="5">
        <v>133.87</v>
      </c>
      <c r="P116" s="5">
        <v>149.28</v>
      </c>
    </row>
    <row r="117" spans="1:16" s="1" customFormat="1" ht="15" customHeight="1" x14ac:dyDescent="0.35">
      <c r="A117" s="1">
        <v>101</v>
      </c>
      <c r="B117" s="5">
        <v>19.14</v>
      </c>
      <c r="C117" s="5">
        <v>19.36</v>
      </c>
      <c r="D117" s="5">
        <v>21.01</v>
      </c>
      <c r="E117" s="5">
        <v>22.99</v>
      </c>
      <c r="F117" s="5">
        <v>27.06</v>
      </c>
      <c r="G117" s="5">
        <v>29.97</v>
      </c>
      <c r="H117" s="5">
        <v>33.01</v>
      </c>
      <c r="I117" s="5">
        <v>300.07</v>
      </c>
      <c r="J117" s="5">
        <v>42.45</v>
      </c>
      <c r="K117" s="5">
        <v>229.31</v>
      </c>
      <c r="L117" s="5">
        <v>55.37</v>
      </c>
      <c r="M117" s="5">
        <v>103.07</v>
      </c>
      <c r="N117" s="5">
        <v>114.84</v>
      </c>
      <c r="O117" s="5">
        <v>134.88</v>
      </c>
      <c r="P117" s="5">
        <v>150.28</v>
      </c>
    </row>
    <row r="118" spans="1:16" s="1" customFormat="1" ht="15" customHeight="1" x14ac:dyDescent="0.35">
      <c r="A118" s="1">
        <v>102</v>
      </c>
      <c r="B118" s="5">
        <v>19.32</v>
      </c>
      <c r="C118" s="5">
        <v>19.37</v>
      </c>
      <c r="D118" s="5">
        <v>21.21</v>
      </c>
      <c r="E118" s="5">
        <v>22.99</v>
      </c>
      <c r="F118" s="5">
        <v>27.06</v>
      </c>
      <c r="G118" s="5">
        <v>29.98</v>
      </c>
      <c r="H118" s="5">
        <v>33.020000000000003</v>
      </c>
      <c r="I118" s="5">
        <v>300.08</v>
      </c>
      <c r="J118" s="5">
        <v>43.74</v>
      </c>
      <c r="K118" s="5">
        <v>229.32</v>
      </c>
      <c r="L118" s="5">
        <v>55.91</v>
      </c>
      <c r="M118" s="5">
        <v>103.8</v>
      </c>
      <c r="N118" s="5">
        <v>115.55</v>
      </c>
      <c r="O118" s="5">
        <v>135.82</v>
      </c>
      <c r="P118" s="5">
        <v>151.21</v>
      </c>
    </row>
    <row r="119" spans="1:16" s="1" customFormat="1" ht="15" customHeight="1" x14ac:dyDescent="0.35">
      <c r="A119" s="1">
        <v>103</v>
      </c>
      <c r="B119" s="5">
        <v>19.57</v>
      </c>
      <c r="C119" s="5">
        <v>19.850000000000001</v>
      </c>
      <c r="D119" s="5">
        <v>21.65</v>
      </c>
      <c r="E119" s="5">
        <v>23.12</v>
      </c>
      <c r="F119" s="5">
        <v>27.13</v>
      </c>
      <c r="G119" s="5">
        <v>29.98</v>
      </c>
      <c r="H119" s="5">
        <v>33.020000000000003</v>
      </c>
      <c r="I119" s="5">
        <v>300.08999999999997</v>
      </c>
      <c r="J119" s="5">
        <v>44.63</v>
      </c>
      <c r="K119" s="5">
        <v>229.32</v>
      </c>
      <c r="L119" s="5">
        <v>57.61</v>
      </c>
      <c r="M119" s="5">
        <v>104.63</v>
      </c>
      <c r="N119" s="5">
        <v>116.32</v>
      </c>
      <c r="O119" s="5">
        <v>136.91</v>
      </c>
      <c r="P119" s="5">
        <v>152.21</v>
      </c>
    </row>
    <row r="120" spans="1:16" s="1" customFormat="1" ht="15" customHeight="1" x14ac:dyDescent="0.35">
      <c r="A120" s="1">
        <v>104</v>
      </c>
      <c r="B120" s="5">
        <v>19.579999999999998</v>
      </c>
      <c r="C120" s="5">
        <v>19.850000000000001</v>
      </c>
      <c r="D120" s="5">
        <v>21.71</v>
      </c>
      <c r="E120" s="5">
        <v>23.15</v>
      </c>
      <c r="F120" s="5">
        <v>27.13</v>
      </c>
      <c r="G120" s="5">
        <v>29.98</v>
      </c>
      <c r="H120" s="5">
        <v>33.020000000000003</v>
      </c>
      <c r="I120" s="5">
        <v>300.12</v>
      </c>
      <c r="J120" s="5">
        <v>46.38</v>
      </c>
      <c r="K120" s="5">
        <v>229.35</v>
      </c>
      <c r="L120" s="5">
        <v>57.62</v>
      </c>
      <c r="M120" s="5">
        <v>105.46</v>
      </c>
      <c r="N120" s="5">
        <v>117.04</v>
      </c>
      <c r="O120" s="5">
        <v>138.01</v>
      </c>
      <c r="P120" s="5">
        <v>153.16</v>
      </c>
    </row>
    <row r="121" spans="1:16" s="1" customFormat="1" ht="15" customHeight="1" x14ac:dyDescent="0.35">
      <c r="A121" s="1">
        <v>105</v>
      </c>
      <c r="B121" s="5">
        <v>20.28</v>
      </c>
      <c r="C121" s="5">
        <v>20.440000000000001</v>
      </c>
      <c r="D121" s="5">
        <v>22.16</v>
      </c>
      <c r="E121" s="5">
        <v>23.85</v>
      </c>
      <c r="F121" s="5">
        <v>27.8</v>
      </c>
      <c r="G121" s="5">
        <v>30.68</v>
      </c>
      <c r="H121" s="5">
        <v>33.83</v>
      </c>
      <c r="I121" s="5">
        <v>302.79000000000002</v>
      </c>
      <c r="J121" s="5">
        <v>46.84</v>
      </c>
      <c r="K121" s="5">
        <v>231.39</v>
      </c>
      <c r="L121" s="5">
        <v>58.54</v>
      </c>
      <c r="M121" s="5">
        <v>106.28</v>
      </c>
      <c r="N121" s="5">
        <v>117.78</v>
      </c>
      <c r="O121" s="5">
        <v>139.08000000000001</v>
      </c>
      <c r="P121" s="5">
        <v>154.13</v>
      </c>
    </row>
    <row r="122" spans="1:16" s="1" customFormat="1" ht="15" customHeight="1" x14ac:dyDescent="0.35">
      <c r="A122" s="1">
        <v>106</v>
      </c>
      <c r="B122" s="5">
        <v>20.420000000000002</v>
      </c>
      <c r="C122" s="5">
        <v>20.440000000000001</v>
      </c>
      <c r="D122" s="5">
        <v>22.17</v>
      </c>
      <c r="E122" s="5">
        <v>23.85</v>
      </c>
      <c r="F122" s="5">
        <v>27.8</v>
      </c>
      <c r="G122" s="5">
        <v>30.68</v>
      </c>
      <c r="H122" s="5">
        <v>33.840000000000003</v>
      </c>
      <c r="I122" s="5">
        <v>305.60000000000002</v>
      </c>
      <c r="J122" s="5">
        <v>46.84</v>
      </c>
      <c r="K122" s="5">
        <v>233.53</v>
      </c>
      <c r="L122" s="5">
        <v>59.48</v>
      </c>
      <c r="M122" s="5">
        <v>107.05</v>
      </c>
      <c r="N122" s="5">
        <v>118.52</v>
      </c>
      <c r="O122" s="5">
        <v>140.08000000000001</v>
      </c>
      <c r="P122" s="5">
        <v>155.09</v>
      </c>
    </row>
    <row r="123" spans="1:16" s="1" customFormat="1" ht="15" customHeight="1" x14ac:dyDescent="0.35">
      <c r="A123" s="1">
        <v>107</v>
      </c>
      <c r="B123" s="5">
        <v>20.53</v>
      </c>
      <c r="C123" s="5">
        <v>20.72</v>
      </c>
      <c r="D123" s="5">
        <v>22.46</v>
      </c>
      <c r="E123" s="5">
        <v>24.11</v>
      </c>
      <c r="F123" s="5">
        <v>27.81</v>
      </c>
      <c r="G123" s="5">
        <v>30.91</v>
      </c>
      <c r="H123" s="5">
        <v>34.1</v>
      </c>
      <c r="I123" s="5">
        <v>308.42</v>
      </c>
      <c r="J123" s="5">
        <v>48.15</v>
      </c>
      <c r="K123" s="5">
        <v>235.69</v>
      </c>
      <c r="L123" s="5">
        <v>60.72</v>
      </c>
      <c r="M123" s="5">
        <v>107.78</v>
      </c>
      <c r="N123" s="5">
        <v>119.21</v>
      </c>
      <c r="O123" s="5">
        <v>141.04</v>
      </c>
      <c r="P123" s="5">
        <v>156</v>
      </c>
    </row>
    <row r="124" spans="1:16" s="1" customFormat="1" ht="15" customHeight="1" x14ac:dyDescent="0.35">
      <c r="A124" s="1">
        <v>108</v>
      </c>
      <c r="B124" s="5">
        <v>20.82</v>
      </c>
      <c r="C124" s="5">
        <v>20.95</v>
      </c>
      <c r="D124" s="5">
        <v>22.68</v>
      </c>
      <c r="E124" s="5">
        <v>24.11</v>
      </c>
      <c r="F124" s="5">
        <v>28.06</v>
      </c>
      <c r="G124" s="5">
        <v>30.91</v>
      </c>
      <c r="H124" s="5">
        <v>34.11</v>
      </c>
      <c r="I124" s="5">
        <v>311.23</v>
      </c>
      <c r="J124" s="5">
        <v>48.6</v>
      </c>
      <c r="K124" s="5">
        <v>237.84</v>
      </c>
      <c r="L124" s="5">
        <v>62.47</v>
      </c>
      <c r="M124" s="5">
        <v>108.53</v>
      </c>
      <c r="N124" s="5">
        <v>119.96</v>
      </c>
      <c r="O124" s="5">
        <v>142.02000000000001</v>
      </c>
      <c r="P124" s="5">
        <v>156.97999999999999</v>
      </c>
    </row>
    <row r="125" spans="1:16" s="1" customFormat="1" ht="15" customHeight="1" x14ac:dyDescent="0.35">
      <c r="A125" s="1">
        <v>109</v>
      </c>
      <c r="B125" s="5">
        <v>21.45</v>
      </c>
      <c r="C125" s="5">
        <v>21.45</v>
      </c>
      <c r="D125" s="5">
        <v>22.96</v>
      </c>
      <c r="E125" s="5">
        <v>24.58</v>
      </c>
      <c r="F125" s="5">
        <v>28.3</v>
      </c>
      <c r="G125" s="5">
        <v>31.47</v>
      </c>
      <c r="H125" s="5">
        <v>34.729999999999997</v>
      </c>
      <c r="I125" s="5">
        <v>313.89</v>
      </c>
      <c r="J125" s="5">
        <v>49.49</v>
      </c>
      <c r="K125" s="5">
        <v>239.87</v>
      </c>
      <c r="L125" s="5">
        <v>62.48</v>
      </c>
      <c r="M125" s="5">
        <v>109.24</v>
      </c>
      <c r="N125" s="5">
        <v>120.7</v>
      </c>
      <c r="O125" s="5">
        <v>142.94999999999999</v>
      </c>
      <c r="P125" s="5">
        <v>157.94999999999999</v>
      </c>
    </row>
    <row r="126" spans="1:16" s="1" customFormat="1" ht="15" customHeight="1" x14ac:dyDescent="0.35">
      <c r="A126" s="1">
        <v>110</v>
      </c>
      <c r="B126" s="5">
        <v>21.82</v>
      </c>
      <c r="C126" s="5">
        <v>21.97</v>
      </c>
      <c r="D126" s="5">
        <v>23.45</v>
      </c>
      <c r="E126" s="5">
        <v>25.05</v>
      </c>
      <c r="F126" s="5">
        <v>29.08</v>
      </c>
      <c r="G126" s="5">
        <v>32.049999999999997</v>
      </c>
      <c r="H126" s="5">
        <v>35.369999999999997</v>
      </c>
      <c r="I126" s="5">
        <v>316.54000000000002</v>
      </c>
      <c r="J126" s="5">
        <v>50.37</v>
      </c>
      <c r="K126" s="5">
        <v>241.89</v>
      </c>
      <c r="L126" s="5">
        <v>63.76</v>
      </c>
      <c r="M126" s="5">
        <v>110.12</v>
      </c>
      <c r="N126" s="5">
        <v>121.45</v>
      </c>
      <c r="O126" s="5">
        <v>144.11000000000001</v>
      </c>
      <c r="P126" s="5">
        <v>158.93</v>
      </c>
    </row>
    <row r="127" spans="1:16" s="1" customFormat="1" ht="15" customHeight="1" x14ac:dyDescent="0.35">
      <c r="A127" s="1">
        <v>111</v>
      </c>
      <c r="B127" s="5">
        <v>21.82</v>
      </c>
      <c r="C127" s="5">
        <v>22</v>
      </c>
      <c r="D127" s="5">
        <v>23.96</v>
      </c>
      <c r="E127" s="5">
        <v>25.3</v>
      </c>
      <c r="F127" s="5">
        <v>29.09</v>
      </c>
      <c r="G127" s="5">
        <v>32.28</v>
      </c>
      <c r="H127" s="5">
        <v>35.79</v>
      </c>
      <c r="I127" s="5">
        <v>320.14999999999998</v>
      </c>
      <c r="J127" s="5">
        <v>51.21</v>
      </c>
      <c r="K127" s="5">
        <v>244.65</v>
      </c>
      <c r="L127" s="5">
        <v>64.680000000000007</v>
      </c>
      <c r="M127" s="5">
        <v>110.95</v>
      </c>
      <c r="N127" s="5">
        <v>122.16</v>
      </c>
      <c r="O127" s="5">
        <v>145.18</v>
      </c>
      <c r="P127" s="5">
        <v>159.85</v>
      </c>
    </row>
    <row r="128" spans="1:16" s="1" customFormat="1" ht="15" customHeight="1" x14ac:dyDescent="0.35">
      <c r="A128" s="1">
        <v>112</v>
      </c>
      <c r="B128" s="5">
        <v>22.08</v>
      </c>
      <c r="C128" s="5">
        <v>22.45</v>
      </c>
      <c r="D128" s="5">
        <v>23.97</v>
      </c>
      <c r="E128" s="5">
        <v>25.3</v>
      </c>
      <c r="F128" s="5">
        <v>29.32</v>
      </c>
      <c r="G128" s="5">
        <v>32.29</v>
      </c>
      <c r="H128" s="5">
        <v>35.79</v>
      </c>
      <c r="I128" s="5">
        <v>323.76</v>
      </c>
      <c r="J128" s="5">
        <v>52.61</v>
      </c>
      <c r="K128" s="5">
        <v>247.41</v>
      </c>
      <c r="L128" s="5">
        <v>65.03</v>
      </c>
      <c r="M128" s="5">
        <v>111.76</v>
      </c>
      <c r="N128" s="5">
        <v>122.96</v>
      </c>
      <c r="O128" s="5">
        <v>146.25</v>
      </c>
      <c r="P128" s="5">
        <v>160.9</v>
      </c>
    </row>
    <row r="129" spans="1:16" s="1" customFormat="1" ht="15" customHeight="1" x14ac:dyDescent="0.35">
      <c r="A129" s="1">
        <v>113</v>
      </c>
      <c r="B129" s="5">
        <v>22.08</v>
      </c>
      <c r="C129" s="5">
        <v>22.46</v>
      </c>
      <c r="D129" s="5">
        <v>24.23</v>
      </c>
      <c r="E129" s="5">
        <v>25.53</v>
      </c>
      <c r="F129" s="5">
        <v>29.32</v>
      </c>
      <c r="G129" s="5">
        <v>32.29</v>
      </c>
      <c r="H129" s="5">
        <v>36.1</v>
      </c>
      <c r="I129" s="5">
        <v>326.57</v>
      </c>
      <c r="J129" s="5">
        <v>52.96</v>
      </c>
      <c r="K129" s="5">
        <v>249.56</v>
      </c>
      <c r="L129" s="5">
        <v>66.27</v>
      </c>
      <c r="M129" s="5">
        <v>112.49</v>
      </c>
      <c r="N129" s="5">
        <v>123.83</v>
      </c>
      <c r="O129" s="5">
        <v>147.19999999999999</v>
      </c>
      <c r="P129" s="5">
        <v>162.04</v>
      </c>
    </row>
    <row r="130" spans="1:16" s="1" customFormat="1" ht="15" customHeight="1" x14ac:dyDescent="0.35">
      <c r="A130" s="1">
        <v>114</v>
      </c>
      <c r="B130" s="5">
        <v>22.31</v>
      </c>
      <c r="C130" s="5">
        <v>22.94</v>
      </c>
      <c r="D130" s="5">
        <v>24.73</v>
      </c>
      <c r="E130" s="5">
        <v>26.03</v>
      </c>
      <c r="F130" s="5">
        <v>30.1</v>
      </c>
      <c r="G130" s="5">
        <v>33.1</v>
      </c>
      <c r="H130" s="5">
        <v>36.68</v>
      </c>
      <c r="I130" s="5">
        <v>329.41</v>
      </c>
      <c r="J130" s="5">
        <v>53.48</v>
      </c>
      <c r="K130" s="5">
        <v>251.73</v>
      </c>
      <c r="L130" s="5">
        <v>67.14</v>
      </c>
      <c r="M130" s="5">
        <v>113.27</v>
      </c>
      <c r="N130" s="5">
        <v>124.62</v>
      </c>
      <c r="O130" s="5">
        <v>148.22</v>
      </c>
      <c r="P130" s="5">
        <v>163.08000000000001</v>
      </c>
    </row>
    <row r="131" spans="1:16" s="1" customFormat="1" ht="15" customHeight="1" x14ac:dyDescent="0.35">
      <c r="A131" s="1">
        <v>115</v>
      </c>
      <c r="B131" s="5">
        <v>22.99</v>
      </c>
      <c r="C131" s="5">
        <v>23.28</v>
      </c>
      <c r="D131" s="5">
        <v>24.74</v>
      </c>
      <c r="E131" s="5">
        <v>26.35</v>
      </c>
      <c r="F131" s="5">
        <v>30.1</v>
      </c>
      <c r="G131" s="5">
        <v>33.409999999999997</v>
      </c>
      <c r="H131" s="5">
        <v>36.69</v>
      </c>
      <c r="I131" s="5">
        <v>332.21</v>
      </c>
      <c r="J131" s="5">
        <v>54.69</v>
      </c>
      <c r="K131" s="5">
        <v>253.87</v>
      </c>
      <c r="L131" s="5">
        <v>67.77</v>
      </c>
      <c r="M131" s="5">
        <v>114.01</v>
      </c>
      <c r="N131" s="5">
        <v>125.42</v>
      </c>
      <c r="O131" s="5">
        <v>149.19999999999999</v>
      </c>
      <c r="P131" s="5">
        <v>164.13</v>
      </c>
    </row>
    <row r="132" spans="1:16" s="1" customFormat="1" ht="15" customHeight="1" x14ac:dyDescent="0.35">
      <c r="A132" s="1">
        <v>116</v>
      </c>
      <c r="B132" s="5">
        <v>22.99</v>
      </c>
      <c r="C132" s="5">
        <v>23.28</v>
      </c>
      <c r="D132" s="5">
        <v>25.05</v>
      </c>
      <c r="E132" s="5">
        <v>26.35</v>
      </c>
      <c r="F132" s="5">
        <v>30.54</v>
      </c>
      <c r="G132" s="5">
        <v>33.83</v>
      </c>
      <c r="H132" s="5">
        <v>37.26</v>
      </c>
      <c r="I132" s="5">
        <v>334.3</v>
      </c>
      <c r="J132" s="5">
        <v>55.62</v>
      </c>
      <c r="K132" s="5">
        <v>255.46</v>
      </c>
      <c r="L132" s="5">
        <v>70.03</v>
      </c>
      <c r="M132" s="5">
        <v>115.56</v>
      </c>
      <c r="N132" s="5">
        <v>126.29</v>
      </c>
      <c r="O132" s="5">
        <v>151.22</v>
      </c>
      <c r="P132" s="5">
        <v>165.26</v>
      </c>
    </row>
    <row r="133" spans="1:16" s="1" customFormat="1" ht="15" customHeight="1" x14ac:dyDescent="0.35">
      <c r="A133" s="1">
        <v>117</v>
      </c>
      <c r="B133" s="5">
        <v>23.01</v>
      </c>
      <c r="C133" s="5">
        <v>23.51</v>
      </c>
      <c r="D133" s="5">
        <v>25.29</v>
      </c>
      <c r="E133" s="5">
        <v>26.7</v>
      </c>
      <c r="F133" s="5">
        <v>30.55</v>
      </c>
      <c r="G133" s="5">
        <v>33.83</v>
      </c>
      <c r="H133" s="5">
        <v>37.5</v>
      </c>
      <c r="I133" s="5">
        <v>336.95</v>
      </c>
      <c r="J133" s="5">
        <v>55.96</v>
      </c>
      <c r="K133" s="5">
        <v>257.49</v>
      </c>
      <c r="L133" s="5">
        <v>70.040000000000006</v>
      </c>
      <c r="M133" s="5">
        <v>115.56</v>
      </c>
      <c r="N133" s="5">
        <v>127.1</v>
      </c>
      <c r="O133" s="5">
        <v>151.22</v>
      </c>
      <c r="P133" s="5">
        <v>166.33</v>
      </c>
    </row>
    <row r="134" spans="1:16" s="1" customFormat="1" ht="15" customHeight="1" x14ac:dyDescent="0.35">
      <c r="A134" s="1">
        <v>118</v>
      </c>
      <c r="B134" s="5">
        <v>23.26</v>
      </c>
      <c r="C134" s="5">
        <v>23.78</v>
      </c>
      <c r="D134" s="5">
        <v>25.31</v>
      </c>
      <c r="E134" s="5">
        <v>26.78</v>
      </c>
      <c r="F134" s="5">
        <v>30.77</v>
      </c>
      <c r="G134" s="5">
        <v>33.840000000000003</v>
      </c>
      <c r="H134" s="5">
        <v>38.15</v>
      </c>
      <c r="I134" s="5">
        <v>339.61</v>
      </c>
      <c r="J134" s="5">
        <v>57.92</v>
      </c>
      <c r="K134" s="5">
        <v>259.52</v>
      </c>
      <c r="L134" s="5">
        <v>71.239999999999995</v>
      </c>
      <c r="M134" s="5">
        <v>116.41</v>
      </c>
      <c r="N134" s="5">
        <v>127.88</v>
      </c>
      <c r="O134" s="5">
        <v>152.33000000000001</v>
      </c>
      <c r="P134" s="5">
        <v>167.34</v>
      </c>
    </row>
    <row r="135" spans="1:16" s="1" customFormat="1" ht="15" customHeight="1" x14ac:dyDescent="0.35">
      <c r="A135" s="1">
        <v>119</v>
      </c>
      <c r="B135" s="5">
        <v>23.95</v>
      </c>
      <c r="C135" s="5">
        <v>24.27</v>
      </c>
      <c r="D135" s="5">
        <v>26.06</v>
      </c>
      <c r="E135" s="5">
        <v>27.19</v>
      </c>
      <c r="F135" s="5">
        <v>30.77</v>
      </c>
      <c r="G135" s="5">
        <v>34.1</v>
      </c>
      <c r="H135" s="5">
        <v>38.15</v>
      </c>
      <c r="I135" s="5">
        <v>344.53</v>
      </c>
      <c r="J135" s="5">
        <v>57.93</v>
      </c>
      <c r="K135" s="5">
        <v>263.27999999999997</v>
      </c>
      <c r="L135" s="5">
        <v>71.25</v>
      </c>
      <c r="M135" s="5">
        <v>117.24</v>
      </c>
      <c r="N135" s="5">
        <v>128.66</v>
      </c>
      <c r="O135" s="5">
        <v>153.41999999999999</v>
      </c>
      <c r="P135" s="5">
        <v>168.37</v>
      </c>
    </row>
    <row r="136" spans="1:16" s="1" customFormat="1" ht="15" customHeight="1" x14ac:dyDescent="0.35">
      <c r="A136" s="1">
        <v>120</v>
      </c>
      <c r="B136" s="5">
        <v>24.6</v>
      </c>
      <c r="C136" s="5">
        <v>24.62</v>
      </c>
      <c r="D136" s="5">
        <v>26.1</v>
      </c>
      <c r="E136" s="5">
        <v>27.37</v>
      </c>
      <c r="F136" s="5">
        <v>31.31</v>
      </c>
      <c r="G136" s="5">
        <v>34.549999999999997</v>
      </c>
      <c r="H136" s="5">
        <v>38.15</v>
      </c>
      <c r="I136" s="5">
        <v>347.35</v>
      </c>
      <c r="J136" s="5">
        <v>59.73</v>
      </c>
      <c r="K136" s="5">
        <v>265.44</v>
      </c>
      <c r="L136" s="5">
        <v>73.55</v>
      </c>
      <c r="M136" s="5">
        <v>118.04</v>
      </c>
      <c r="N136" s="5">
        <v>129.4</v>
      </c>
      <c r="O136" s="5">
        <v>154.47</v>
      </c>
      <c r="P136" s="5">
        <v>169.33</v>
      </c>
    </row>
    <row r="137" spans="1:16" s="1" customFormat="1" ht="15" customHeight="1" x14ac:dyDescent="0.35">
      <c r="A137" s="1">
        <v>121</v>
      </c>
      <c r="B137" s="5">
        <v>24.61</v>
      </c>
      <c r="C137" s="5">
        <v>24.63</v>
      </c>
      <c r="D137" s="5">
        <v>26.1</v>
      </c>
      <c r="E137" s="5">
        <v>27.38</v>
      </c>
      <c r="F137" s="5">
        <v>31.51</v>
      </c>
      <c r="G137" s="5">
        <v>34.549999999999997</v>
      </c>
      <c r="H137" s="5">
        <v>38.15</v>
      </c>
      <c r="I137" s="5">
        <v>349.67</v>
      </c>
      <c r="J137" s="5">
        <v>59.73</v>
      </c>
      <c r="K137" s="5">
        <v>267.20999999999998</v>
      </c>
      <c r="L137" s="5">
        <v>74.260000000000005</v>
      </c>
      <c r="M137" s="5">
        <v>118.91</v>
      </c>
      <c r="N137" s="5">
        <v>130.12</v>
      </c>
      <c r="O137" s="5">
        <v>155.6</v>
      </c>
      <c r="P137" s="5">
        <v>170.28</v>
      </c>
    </row>
    <row r="138" spans="1:16" s="1" customFormat="1" ht="15" customHeight="1" x14ac:dyDescent="0.35">
      <c r="A138" s="1">
        <v>122</v>
      </c>
      <c r="B138" s="5">
        <v>24.61</v>
      </c>
      <c r="C138" s="5">
        <v>25.1</v>
      </c>
      <c r="D138" s="5">
        <v>26.36</v>
      </c>
      <c r="E138" s="5">
        <v>27.62</v>
      </c>
      <c r="F138" s="5">
        <v>31.75</v>
      </c>
      <c r="G138" s="5">
        <v>35.1</v>
      </c>
      <c r="H138" s="5">
        <v>38.82</v>
      </c>
      <c r="I138" s="5">
        <v>355.95</v>
      </c>
      <c r="J138" s="5">
        <v>61.5</v>
      </c>
      <c r="K138" s="5">
        <v>272.01</v>
      </c>
      <c r="L138" s="5">
        <v>74.97</v>
      </c>
      <c r="M138" s="5">
        <v>119.73</v>
      </c>
      <c r="N138" s="5">
        <v>130.83000000000001</v>
      </c>
      <c r="O138" s="5">
        <v>156.66999999999999</v>
      </c>
      <c r="P138" s="5">
        <v>171.21</v>
      </c>
    </row>
    <row r="139" spans="1:16" s="1" customFormat="1" ht="15" customHeight="1" x14ac:dyDescent="0.35">
      <c r="A139" s="1">
        <v>123</v>
      </c>
      <c r="B139" s="5">
        <v>24.83</v>
      </c>
      <c r="C139" s="5">
        <v>25.12</v>
      </c>
      <c r="D139" s="5">
        <v>27.15</v>
      </c>
      <c r="E139" s="5">
        <v>28.38</v>
      </c>
      <c r="F139" s="5">
        <v>32</v>
      </c>
      <c r="G139" s="5">
        <v>35.74</v>
      </c>
      <c r="H139" s="5">
        <v>39.35</v>
      </c>
      <c r="I139" s="5">
        <v>355.96</v>
      </c>
      <c r="J139" s="5">
        <v>61.51</v>
      </c>
      <c r="K139" s="5">
        <v>272.02</v>
      </c>
      <c r="L139" s="5">
        <v>75</v>
      </c>
      <c r="M139" s="5">
        <v>120.54</v>
      </c>
      <c r="N139" s="5">
        <v>131.59</v>
      </c>
      <c r="O139" s="5">
        <v>157.72999999999999</v>
      </c>
      <c r="P139" s="5">
        <v>172.19</v>
      </c>
    </row>
    <row r="140" spans="1:16" s="1" customFormat="1" ht="15" customHeight="1" x14ac:dyDescent="0.35">
      <c r="A140" s="1">
        <v>124</v>
      </c>
      <c r="B140" s="5">
        <v>24.83</v>
      </c>
      <c r="C140" s="5">
        <v>25.37</v>
      </c>
      <c r="D140" s="5">
        <v>27.43</v>
      </c>
      <c r="E140" s="5">
        <v>28.38</v>
      </c>
      <c r="F140" s="5">
        <v>32.21</v>
      </c>
      <c r="G140" s="5">
        <v>35.75</v>
      </c>
      <c r="H140" s="5">
        <v>39.36</v>
      </c>
      <c r="I140" s="5">
        <v>358.6</v>
      </c>
      <c r="J140" s="5">
        <v>62.01</v>
      </c>
      <c r="K140" s="5">
        <v>274.02999999999997</v>
      </c>
      <c r="L140" s="5">
        <v>77.540000000000006</v>
      </c>
      <c r="M140" s="5">
        <v>121.36</v>
      </c>
      <c r="N140" s="5">
        <v>132.31</v>
      </c>
      <c r="O140" s="5">
        <v>158.81</v>
      </c>
      <c r="P140" s="5">
        <v>173.14</v>
      </c>
    </row>
    <row r="141" spans="1:16" s="1" customFormat="1" ht="15" customHeight="1" x14ac:dyDescent="0.35">
      <c r="A141" s="1">
        <v>125</v>
      </c>
      <c r="B141" s="5">
        <v>25.07</v>
      </c>
      <c r="C141" s="5">
        <v>25.37</v>
      </c>
      <c r="D141" s="5">
        <v>27.43</v>
      </c>
      <c r="E141" s="5">
        <v>28.38</v>
      </c>
      <c r="F141" s="5">
        <v>32.22</v>
      </c>
      <c r="G141" s="5">
        <v>35.75</v>
      </c>
      <c r="H141" s="5">
        <v>39.36</v>
      </c>
      <c r="I141" s="5">
        <v>361.6</v>
      </c>
      <c r="J141" s="5">
        <v>63.53</v>
      </c>
      <c r="K141" s="5">
        <v>276.33</v>
      </c>
      <c r="L141" s="5">
        <v>78.28</v>
      </c>
      <c r="M141" s="5">
        <v>122.19</v>
      </c>
      <c r="N141" s="5">
        <v>133.07</v>
      </c>
      <c r="O141" s="5">
        <v>159.9</v>
      </c>
      <c r="P141" s="5">
        <v>174.13</v>
      </c>
    </row>
    <row r="142" spans="1:16" s="1" customFormat="1" ht="15" customHeight="1" x14ac:dyDescent="0.35">
      <c r="A142" s="1">
        <v>126</v>
      </c>
      <c r="B142" s="5">
        <v>25.57</v>
      </c>
      <c r="C142" s="5">
        <v>25.62</v>
      </c>
      <c r="D142" s="5">
        <v>27.72</v>
      </c>
      <c r="E142" s="5">
        <v>28.39</v>
      </c>
      <c r="F142" s="5">
        <v>32.409999999999997</v>
      </c>
      <c r="G142" s="5">
        <v>35.75</v>
      </c>
      <c r="H142" s="5">
        <v>40.75</v>
      </c>
      <c r="I142" s="5">
        <v>363.84</v>
      </c>
      <c r="J142" s="5">
        <v>64.39</v>
      </c>
      <c r="K142" s="5">
        <v>278.04000000000002</v>
      </c>
      <c r="L142" s="5">
        <v>78.650000000000006</v>
      </c>
      <c r="M142" s="5">
        <v>123.07</v>
      </c>
      <c r="N142" s="5">
        <v>133.77000000000001</v>
      </c>
      <c r="O142" s="5">
        <v>161.05000000000001</v>
      </c>
      <c r="P142" s="5">
        <v>175.05</v>
      </c>
    </row>
    <row r="143" spans="1:16" s="1" customFormat="1" ht="15" customHeight="1" x14ac:dyDescent="0.35">
      <c r="A143" s="1">
        <v>127</v>
      </c>
      <c r="B143" s="5">
        <v>25.57</v>
      </c>
      <c r="C143" s="5">
        <v>26.07</v>
      </c>
      <c r="D143" s="5">
        <v>28.25</v>
      </c>
      <c r="E143" s="5">
        <v>29.03</v>
      </c>
      <c r="F143" s="5">
        <v>33.15</v>
      </c>
      <c r="G143" s="5">
        <v>36.4</v>
      </c>
      <c r="H143" s="5">
        <v>40.75</v>
      </c>
      <c r="I143" s="5">
        <v>366.79</v>
      </c>
      <c r="J143" s="5">
        <v>65.87</v>
      </c>
      <c r="K143" s="5">
        <v>280.3</v>
      </c>
      <c r="L143" s="5">
        <v>78.83</v>
      </c>
      <c r="M143" s="5">
        <v>123.87</v>
      </c>
      <c r="N143" s="5">
        <v>134.54</v>
      </c>
      <c r="O143" s="5">
        <v>162.09</v>
      </c>
      <c r="P143" s="5">
        <v>176.05</v>
      </c>
    </row>
    <row r="144" spans="1:16" s="1" customFormat="1" ht="15" customHeight="1" x14ac:dyDescent="0.35">
      <c r="A144" s="1">
        <v>128</v>
      </c>
      <c r="B144" s="5">
        <v>25.81</v>
      </c>
      <c r="C144" s="5">
        <v>26.07</v>
      </c>
      <c r="D144" s="5">
        <v>28.26</v>
      </c>
      <c r="E144" s="5">
        <v>29.04</v>
      </c>
      <c r="F144" s="5">
        <v>33.15</v>
      </c>
      <c r="G144" s="5">
        <v>36.4</v>
      </c>
      <c r="H144" s="5">
        <v>40.97</v>
      </c>
      <c r="I144" s="5">
        <v>369.78</v>
      </c>
      <c r="J144" s="5">
        <v>66.78</v>
      </c>
      <c r="K144" s="5">
        <v>282.58</v>
      </c>
      <c r="L144" s="5">
        <v>79.59</v>
      </c>
      <c r="M144" s="5">
        <v>124.71</v>
      </c>
      <c r="N144" s="5">
        <v>135.36000000000001</v>
      </c>
      <c r="O144" s="5">
        <v>163.19999999999999</v>
      </c>
      <c r="P144" s="5">
        <v>177.13</v>
      </c>
    </row>
    <row r="145" spans="1:16" s="1" customFormat="1" ht="15" customHeight="1" x14ac:dyDescent="0.35">
      <c r="A145" s="1">
        <v>129</v>
      </c>
      <c r="B145" s="5">
        <v>26.3</v>
      </c>
      <c r="C145" s="5">
        <v>26.4</v>
      </c>
      <c r="D145" s="5">
        <v>28.27</v>
      </c>
      <c r="E145" s="5">
        <v>29.23</v>
      </c>
      <c r="F145" s="5">
        <v>33.15</v>
      </c>
      <c r="G145" s="5">
        <v>36.4</v>
      </c>
      <c r="H145" s="5">
        <v>41.36</v>
      </c>
      <c r="I145" s="5">
        <v>372.76</v>
      </c>
      <c r="J145" s="5">
        <v>66.790000000000006</v>
      </c>
      <c r="K145" s="5">
        <v>284.86</v>
      </c>
      <c r="L145" s="5">
        <v>80.64</v>
      </c>
      <c r="M145" s="5">
        <v>124.72</v>
      </c>
      <c r="N145" s="5">
        <v>136.13999999999999</v>
      </c>
      <c r="O145" s="5">
        <v>163.19999999999999</v>
      </c>
      <c r="P145" s="5">
        <v>178.16</v>
      </c>
    </row>
    <row r="146" spans="1:16" s="1" customFormat="1" ht="15" customHeight="1" x14ac:dyDescent="0.35">
      <c r="A146" s="1">
        <v>130</v>
      </c>
      <c r="B146" s="5">
        <v>26.41</v>
      </c>
      <c r="C146" s="5">
        <v>26.41</v>
      </c>
      <c r="D146" s="5">
        <v>28.52</v>
      </c>
      <c r="E146" s="5">
        <v>29.24</v>
      </c>
      <c r="F146" s="5">
        <v>33.39</v>
      </c>
      <c r="G146" s="5">
        <v>36.880000000000003</v>
      </c>
      <c r="H146" s="5">
        <v>42.31</v>
      </c>
      <c r="I146" s="5">
        <v>382.98</v>
      </c>
      <c r="J146" s="5">
        <v>69.86</v>
      </c>
      <c r="K146" s="5">
        <v>292.67</v>
      </c>
      <c r="L146" s="5">
        <v>82.41</v>
      </c>
      <c r="M146" s="5">
        <v>126.35</v>
      </c>
      <c r="N146" s="5">
        <v>136.96</v>
      </c>
      <c r="O146" s="5">
        <v>165.34</v>
      </c>
      <c r="P146" s="5">
        <v>179.22</v>
      </c>
    </row>
    <row r="147" spans="1:16" s="1" customFormat="1" ht="15" customHeight="1" x14ac:dyDescent="0.35">
      <c r="A147" s="1">
        <v>131</v>
      </c>
      <c r="B147" s="5">
        <v>26.55</v>
      </c>
      <c r="C147" s="5">
        <v>26.82</v>
      </c>
      <c r="D147" s="5">
        <v>29.06</v>
      </c>
      <c r="E147" s="5">
        <v>29.71</v>
      </c>
      <c r="F147" s="5">
        <v>33.880000000000003</v>
      </c>
      <c r="G147" s="5">
        <v>37.22</v>
      </c>
      <c r="H147" s="5">
        <v>42.5</v>
      </c>
      <c r="I147" s="5">
        <v>382.99</v>
      </c>
      <c r="J147" s="5">
        <v>69.86</v>
      </c>
      <c r="K147" s="5">
        <v>292.67</v>
      </c>
      <c r="L147" s="5">
        <v>82.41</v>
      </c>
      <c r="M147" s="5">
        <v>127.19</v>
      </c>
      <c r="N147" s="5">
        <v>138.62</v>
      </c>
      <c r="O147" s="5">
        <v>166.43</v>
      </c>
      <c r="P147" s="5">
        <v>181.4</v>
      </c>
    </row>
    <row r="148" spans="1:16" s="1" customFormat="1" ht="15" customHeight="1" x14ac:dyDescent="0.35">
      <c r="A148" s="1">
        <v>132</v>
      </c>
      <c r="B148" s="5">
        <v>26.83</v>
      </c>
      <c r="C148" s="5">
        <v>26.84</v>
      </c>
      <c r="D148" s="5">
        <v>29.07</v>
      </c>
      <c r="E148" s="5">
        <v>29.91</v>
      </c>
      <c r="F148" s="5">
        <v>33.880000000000003</v>
      </c>
      <c r="G148" s="5">
        <v>37.229999999999997</v>
      </c>
      <c r="H148" s="5">
        <v>42.51</v>
      </c>
      <c r="I148" s="5">
        <v>386.42</v>
      </c>
      <c r="J148" s="5">
        <v>70.09</v>
      </c>
      <c r="K148" s="5">
        <v>295.3</v>
      </c>
      <c r="L148" s="5">
        <v>82.42</v>
      </c>
      <c r="M148" s="5">
        <v>128.03</v>
      </c>
      <c r="N148" s="5">
        <v>138.63</v>
      </c>
      <c r="O148" s="5">
        <v>167.54</v>
      </c>
      <c r="P148" s="5">
        <v>181.41</v>
      </c>
    </row>
    <row r="149" spans="1:16" s="1" customFormat="1" ht="15" customHeight="1" x14ac:dyDescent="0.35">
      <c r="A149" s="1">
        <v>133</v>
      </c>
      <c r="B149" s="5">
        <v>27.06</v>
      </c>
      <c r="C149" s="5">
        <v>27.13</v>
      </c>
      <c r="D149" s="5">
        <v>29.07</v>
      </c>
      <c r="E149" s="5">
        <v>29.91</v>
      </c>
      <c r="F149" s="5">
        <v>34.06</v>
      </c>
      <c r="G149" s="5">
        <v>37.229999999999997</v>
      </c>
      <c r="H149" s="5">
        <v>42.51</v>
      </c>
      <c r="I149" s="5">
        <v>388.75</v>
      </c>
      <c r="J149" s="5">
        <v>70.09</v>
      </c>
      <c r="K149" s="5">
        <v>297.07</v>
      </c>
      <c r="L149" s="5">
        <v>84.37</v>
      </c>
      <c r="M149" s="5">
        <v>128.83000000000001</v>
      </c>
      <c r="N149" s="5">
        <v>139.43</v>
      </c>
      <c r="O149" s="5">
        <v>168.59</v>
      </c>
      <c r="P149" s="5">
        <v>182.46</v>
      </c>
    </row>
    <row r="150" spans="1:16" s="1" customFormat="1" ht="15" customHeight="1" x14ac:dyDescent="0.35">
      <c r="A150" s="1">
        <v>134</v>
      </c>
      <c r="B150" s="5">
        <v>27.56</v>
      </c>
      <c r="C150" s="5">
        <v>27.6</v>
      </c>
      <c r="D150" s="5">
        <v>29.64</v>
      </c>
      <c r="E150" s="5">
        <v>30.45</v>
      </c>
      <c r="F150" s="5">
        <v>34.65</v>
      </c>
      <c r="G150" s="5">
        <v>37.840000000000003</v>
      </c>
      <c r="H150" s="5">
        <v>42.51</v>
      </c>
      <c r="I150" s="5">
        <v>388.76</v>
      </c>
      <c r="J150" s="5">
        <v>70.75</v>
      </c>
      <c r="K150" s="5">
        <v>297.08</v>
      </c>
      <c r="L150" s="5">
        <v>85.17</v>
      </c>
      <c r="M150" s="5">
        <v>129.66999999999999</v>
      </c>
      <c r="N150" s="5">
        <v>140.26</v>
      </c>
      <c r="O150" s="5">
        <v>169.69</v>
      </c>
      <c r="P150" s="5">
        <v>183.54</v>
      </c>
    </row>
    <row r="151" spans="1:16" s="1" customFormat="1" ht="15" customHeight="1" x14ac:dyDescent="0.35">
      <c r="A151" s="1">
        <v>135</v>
      </c>
      <c r="B151" s="5">
        <v>27.77</v>
      </c>
      <c r="C151" s="5">
        <v>28.14</v>
      </c>
      <c r="D151" s="5">
        <v>30.18</v>
      </c>
      <c r="E151" s="5">
        <v>30.99</v>
      </c>
      <c r="F151" s="5">
        <v>35.08</v>
      </c>
      <c r="G151" s="5">
        <v>38.04</v>
      </c>
      <c r="H151" s="5">
        <v>42.72</v>
      </c>
      <c r="I151" s="5">
        <v>391.7</v>
      </c>
      <c r="J151" s="5">
        <v>71.61</v>
      </c>
      <c r="K151" s="5">
        <v>299.33</v>
      </c>
      <c r="L151" s="5">
        <v>85.38</v>
      </c>
      <c r="M151" s="5">
        <v>130.51</v>
      </c>
      <c r="N151" s="5">
        <v>141</v>
      </c>
      <c r="O151" s="5">
        <v>170.79</v>
      </c>
      <c r="P151" s="5">
        <v>184.51</v>
      </c>
    </row>
    <row r="152" spans="1:16" s="1" customFormat="1" ht="15" customHeight="1" x14ac:dyDescent="0.35">
      <c r="A152" s="1">
        <v>136</v>
      </c>
      <c r="B152" s="5">
        <v>27.98</v>
      </c>
      <c r="C152" s="5">
        <v>28.14</v>
      </c>
      <c r="D152" s="5">
        <v>30.39</v>
      </c>
      <c r="E152" s="5">
        <v>31.26</v>
      </c>
      <c r="F152" s="5">
        <v>35.08</v>
      </c>
      <c r="G152" s="5">
        <v>38.630000000000003</v>
      </c>
      <c r="H152" s="5">
        <v>43.01</v>
      </c>
      <c r="I152" s="5">
        <v>394.68</v>
      </c>
      <c r="J152" s="5">
        <v>73.150000000000006</v>
      </c>
      <c r="K152" s="5">
        <v>301.61</v>
      </c>
      <c r="L152" s="5">
        <v>87</v>
      </c>
      <c r="M152" s="5">
        <v>131.37</v>
      </c>
      <c r="N152" s="5">
        <v>141.74</v>
      </c>
      <c r="O152" s="5">
        <v>171.91</v>
      </c>
      <c r="P152" s="5">
        <v>185.48</v>
      </c>
    </row>
    <row r="153" spans="1:16" s="1" customFormat="1" ht="15" customHeight="1" x14ac:dyDescent="0.35">
      <c r="A153" s="1">
        <v>137</v>
      </c>
      <c r="B153" s="5">
        <v>27.98</v>
      </c>
      <c r="C153" s="5">
        <v>28.21</v>
      </c>
      <c r="D153" s="5">
        <v>31.19</v>
      </c>
      <c r="E153" s="5">
        <v>31.49</v>
      </c>
      <c r="F153" s="5">
        <v>35.08</v>
      </c>
      <c r="G153" s="5">
        <v>38.630000000000003</v>
      </c>
      <c r="H153" s="5">
        <v>43.02</v>
      </c>
      <c r="I153" s="5">
        <v>405.28</v>
      </c>
      <c r="J153" s="5">
        <v>73.34</v>
      </c>
      <c r="K153" s="5">
        <v>309.7</v>
      </c>
      <c r="L153" s="5">
        <v>87.82</v>
      </c>
      <c r="M153" s="5">
        <v>133</v>
      </c>
      <c r="N153" s="5">
        <v>142.47</v>
      </c>
      <c r="O153" s="5">
        <v>174.05</v>
      </c>
      <c r="P153" s="5">
        <v>186.44</v>
      </c>
    </row>
    <row r="154" spans="1:16" s="1" customFormat="1" ht="15" customHeight="1" x14ac:dyDescent="0.35">
      <c r="A154" s="1">
        <v>138</v>
      </c>
      <c r="B154" s="5">
        <v>28.5</v>
      </c>
      <c r="C154" s="5">
        <v>28.93</v>
      </c>
      <c r="D154" s="5">
        <v>31.34</v>
      </c>
      <c r="E154" s="5">
        <v>31.75</v>
      </c>
      <c r="F154" s="5">
        <v>35.799999999999997</v>
      </c>
      <c r="G154" s="5">
        <v>38.96</v>
      </c>
      <c r="H154" s="5">
        <v>44.2</v>
      </c>
      <c r="I154" s="5">
        <v>407.43</v>
      </c>
      <c r="J154" s="5">
        <v>74.209999999999994</v>
      </c>
      <c r="K154" s="5">
        <v>311.35000000000002</v>
      </c>
      <c r="L154" s="5">
        <v>88.12</v>
      </c>
      <c r="M154" s="5">
        <v>133.82</v>
      </c>
      <c r="N154" s="5">
        <v>143.19</v>
      </c>
      <c r="O154" s="5">
        <v>175.12</v>
      </c>
      <c r="P154" s="5">
        <v>187.38</v>
      </c>
    </row>
    <row r="155" spans="1:16" s="1" customFormat="1" ht="15" customHeight="1" x14ac:dyDescent="0.35">
      <c r="A155" s="1">
        <v>139</v>
      </c>
      <c r="B155" s="5">
        <v>29.03</v>
      </c>
      <c r="C155" s="5">
        <v>29.04</v>
      </c>
      <c r="D155" s="5">
        <v>31.35</v>
      </c>
      <c r="E155" s="5">
        <v>31.75</v>
      </c>
      <c r="F155" s="5">
        <v>35.799999999999997</v>
      </c>
      <c r="G155" s="5">
        <v>39.69</v>
      </c>
      <c r="H155" s="5">
        <v>44.21</v>
      </c>
      <c r="I155" s="5">
        <v>407.44</v>
      </c>
      <c r="J155" s="5">
        <v>75.069999999999993</v>
      </c>
      <c r="K155" s="5">
        <v>311.36</v>
      </c>
      <c r="L155" s="5">
        <v>89.87</v>
      </c>
      <c r="M155" s="5">
        <v>133.84</v>
      </c>
      <c r="N155" s="5">
        <v>143.9</v>
      </c>
      <c r="O155" s="5">
        <v>175.14</v>
      </c>
      <c r="P155" s="5">
        <v>188.31</v>
      </c>
    </row>
    <row r="156" spans="1:16" s="1" customFormat="1" ht="15" customHeight="1" x14ac:dyDescent="0.35">
      <c r="A156" s="1">
        <v>140</v>
      </c>
      <c r="B156" s="5">
        <v>29.27</v>
      </c>
      <c r="C156" s="5">
        <v>29.5</v>
      </c>
      <c r="D156" s="5">
        <v>31.66</v>
      </c>
      <c r="E156" s="5">
        <v>32.25</v>
      </c>
      <c r="F156" s="5">
        <v>36.19</v>
      </c>
      <c r="G156" s="5">
        <v>39.69</v>
      </c>
      <c r="H156" s="5">
        <v>44.21</v>
      </c>
      <c r="I156" s="5">
        <v>407.45</v>
      </c>
      <c r="J156" s="5">
        <v>75.97</v>
      </c>
      <c r="K156" s="5">
        <v>311.36</v>
      </c>
      <c r="L156" s="5">
        <v>90.82</v>
      </c>
      <c r="M156" s="5">
        <v>135.46</v>
      </c>
      <c r="N156" s="5">
        <v>144.66999999999999</v>
      </c>
      <c r="O156" s="5">
        <v>177.25</v>
      </c>
      <c r="P156" s="5">
        <v>189.32</v>
      </c>
    </row>
    <row r="157" spans="1:16" s="1" customFormat="1" ht="15" customHeight="1" x14ac:dyDescent="0.35">
      <c r="A157" s="1">
        <v>141</v>
      </c>
      <c r="B157" s="5">
        <v>29.28</v>
      </c>
      <c r="C157" s="5">
        <v>29.5</v>
      </c>
      <c r="D157" s="5">
        <v>31.94</v>
      </c>
      <c r="E157" s="5">
        <v>32.26</v>
      </c>
      <c r="F157" s="5">
        <v>36.19</v>
      </c>
      <c r="G157" s="5">
        <v>39.69</v>
      </c>
      <c r="H157" s="5">
        <v>44.63</v>
      </c>
      <c r="I157" s="5">
        <v>408.49</v>
      </c>
      <c r="J157" s="5">
        <v>77.55</v>
      </c>
      <c r="K157" s="5">
        <v>312.16000000000003</v>
      </c>
      <c r="L157" s="5">
        <v>90.86</v>
      </c>
      <c r="M157" s="5">
        <v>135.47</v>
      </c>
      <c r="N157" s="5">
        <v>145.38</v>
      </c>
      <c r="O157" s="5">
        <v>177.28</v>
      </c>
      <c r="P157" s="5">
        <v>190.25</v>
      </c>
    </row>
    <row r="158" spans="1:16" s="1" customFormat="1" ht="15" customHeight="1" x14ac:dyDescent="0.35">
      <c r="A158" s="1">
        <v>142</v>
      </c>
      <c r="B158" s="5">
        <v>29.65</v>
      </c>
      <c r="C158" s="5">
        <v>29.65</v>
      </c>
      <c r="D158" s="5">
        <v>32.22</v>
      </c>
      <c r="E158" s="5">
        <v>32.770000000000003</v>
      </c>
      <c r="F158" s="5">
        <v>36.729999999999997</v>
      </c>
      <c r="G158" s="5">
        <v>39.869999999999997</v>
      </c>
      <c r="H158" s="5">
        <v>44.63</v>
      </c>
      <c r="I158" s="5">
        <v>415.3</v>
      </c>
      <c r="J158" s="5">
        <v>77.67</v>
      </c>
      <c r="K158" s="5">
        <v>317.37</v>
      </c>
      <c r="L158" s="5">
        <v>91.74</v>
      </c>
      <c r="M158" s="5">
        <v>136.31</v>
      </c>
      <c r="N158" s="5">
        <v>146.15</v>
      </c>
      <c r="O158" s="5">
        <v>178.38</v>
      </c>
      <c r="P158" s="5">
        <v>191.25</v>
      </c>
    </row>
    <row r="159" spans="1:16" s="1" customFormat="1" ht="15" customHeight="1" x14ac:dyDescent="0.35">
      <c r="A159" s="1">
        <v>143</v>
      </c>
      <c r="B159" s="5">
        <v>29.65</v>
      </c>
      <c r="C159" s="5">
        <v>29.66</v>
      </c>
      <c r="D159" s="5">
        <v>32.22</v>
      </c>
      <c r="E159" s="5">
        <v>32.78</v>
      </c>
      <c r="F159" s="5">
        <v>36.729999999999997</v>
      </c>
      <c r="G159" s="5">
        <v>39.869999999999997</v>
      </c>
      <c r="H159" s="5">
        <v>44.63</v>
      </c>
      <c r="I159" s="5">
        <v>418.11</v>
      </c>
      <c r="J159" s="5">
        <v>79.319999999999993</v>
      </c>
      <c r="K159" s="5">
        <v>319.52</v>
      </c>
      <c r="L159" s="5">
        <v>91.81</v>
      </c>
      <c r="M159" s="5">
        <v>137.15</v>
      </c>
      <c r="N159" s="5">
        <v>146.88</v>
      </c>
      <c r="O159" s="5">
        <v>179.47</v>
      </c>
      <c r="P159" s="5">
        <v>192.2</v>
      </c>
    </row>
    <row r="160" spans="1:16" s="1" customFormat="1" ht="15" customHeight="1" x14ac:dyDescent="0.35">
      <c r="A160" s="1">
        <v>144</v>
      </c>
      <c r="B160" s="5">
        <v>30.49</v>
      </c>
      <c r="C160" s="5">
        <v>30.9</v>
      </c>
      <c r="D160" s="5">
        <v>33.159999999999997</v>
      </c>
      <c r="E160" s="5">
        <v>33.799999999999997</v>
      </c>
      <c r="F160" s="5">
        <v>37.71</v>
      </c>
      <c r="G160" s="5">
        <v>41.29</v>
      </c>
      <c r="H160" s="5">
        <v>46.19</v>
      </c>
      <c r="I160" s="5">
        <v>420.98</v>
      </c>
      <c r="J160" s="5">
        <v>80.94</v>
      </c>
      <c r="K160" s="5">
        <v>321.70999999999998</v>
      </c>
      <c r="L160" s="5">
        <v>95.39</v>
      </c>
      <c r="M160" s="5">
        <v>137.47</v>
      </c>
      <c r="N160" s="5">
        <v>147.69999999999999</v>
      </c>
      <c r="O160" s="5">
        <v>179.89</v>
      </c>
      <c r="P160" s="5">
        <v>193.27</v>
      </c>
    </row>
    <row r="161" spans="1:16" s="1" customFormat="1" ht="15" customHeight="1" x14ac:dyDescent="0.35">
      <c r="A161" s="1">
        <v>145</v>
      </c>
      <c r="B161" s="5">
        <v>30.49</v>
      </c>
      <c r="C161" s="5">
        <v>31.21</v>
      </c>
      <c r="D161" s="5">
        <v>33.17</v>
      </c>
      <c r="E161" s="5">
        <v>33.799999999999997</v>
      </c>
      <c r="F161" s="5">
        <v>38.270000000000003</v>
      </c>
      <c r="G161" s="5">
        <v>41.38</v>
      </c>
      <c r="H161" s="5">
        <v>46.19</v>
      </c>
      <c r="I161" s="5">
        <v>420.99</v>
      </c>
      <c r="J161" s="5">
        <v>80.95</v>
      </c>
      <c r="K161" s="5">
        <v>321.70999999999998</v>
      </c>
      <c r="L161" s="5">
        <v>95.4</v>
      </c>
      <c r="M161" s="5">
        <v>138.77000000000001</v>
      </c>
      <c r="N161" s="5">
        <v>149.33000000000001</v>
      </c>
      <c r="O161" s="5">
        <v>181.59</v>
      </c>
      <c r="P161" s="5">
        <v>195.41</v>
      </c>
    </row>
    <row r="162" spans="1:16" s="1" customFormat="1" ht="15" customHeight="1" x14ac:dyDescent="0.35">
      <c r="A162" s="1">
        <v>146</v>
      </c>
      <c r="B162" s="5">
        <v>30.5</v>
      </c>
      <c r="C162" s="5">
        <v>31.21</v>
      </c>
      <c r="D162" s="5">
        <v>33.17</v>
      </c>
      <c r="E162" s="5">
        <v>33.81</v>
      </c>
      <c r="F162" s="5">
        <v>38.28</v>
      </c>
      <c r="G162" s="5">
        <v>41.39</v>
      </c>
      <c r="H162" s="5">
        <v>46.2</v>
      </c>
      <c r="I162" s="5">
        <v>422.94</v>
      </c>
      <c r="J162" s="5">
        <v>81.17</v>
      </c>
      <c r="K162" s="5">
        <v>323.20999999999998</v>
      </c>
      <c r="L162" s="5">
        <v>98.17</v>
      </c>
      <c r="M162" s="5">
        <v>139.62</v>
      </c>
      <c r="N162" s="5">
        <v>149.33000000000001</v>
      </c>
      <c r="O162" s="5">
        <v>182.7</v>
      </c>
      <c r="P162" s="5">
        <v>195.41</v>
      </c>
    </row>
    <row r="163" spans="1:16" s="1" customFormat="1" ht="15" customHeight="1" x14ac:dyDescent="0.35">
      <c r="A163" s="1">
        <v>147</v>
      </c>
      <c r="B163" s="5">
        <v>30.87</v>
      </c>
      <c r="C163" s="5">
        <v>31.52</v>
      </c>
      <c r="D163" s="5">
        <v>33.75</v>
      </c>
      <c r="E163" s="5">
        <v>34.15</v>
      </c>
      <c r="F163" s="5">
        <v>38.549999999999997</v>
      </c>
      <c r="G163" s="5">
        <v>41.39</v>
      </c>
      <c r="H163" s="5">
        <v>46.62</v>
      </c>
      <c r="I163" s="5">
        <v>433.02</v>
      </c>
      <c r="J163" s="5">
        <v>82.03</v>
      </c>
      <c r="K163" s="5">
        <v>330.91</v>
      </c>
      <c r="L163" s="5">
        <v>98.18</v>
      </c>
      <c r="M163" s="5">
        <v>140.44999999999999</v>
      </c>
      <c r="N163" s="5">
        <v>150.16</v>
      </c>
      <c r="O163" s="5">
        <v>183.79</v>
      </c>
      <c r="P163" s="5">
        <v>196.5</v>
      </c>
    </row>
    <row r="164" spans="1:16" s="1" customFormat="1" ht="15" customHeight="1" x14ac:dyDescent="0.35">
      <c r="A164" s="1">
        <v>148</v>
      </c>
      <c r="B164" s="5">
        <v>30.87</v>
      </c>
      <c r="C164" s="5">
        <v>31.71</v>
      </c>
      <c r="D164" s="5">
        <v>33.79</v>
      </c>
      <c r="E164" s="5">
        <v>34.15</v>
      </c>
      <c r="F164" s="5">
        <v>38.549999999999997</v>
      </c>
      <c r="G164" s="5">
        <v>41.39</v>
      </c>
      <c r="H164" s="5">
        <v>46.63</v>
      </c>
      <c r="I164" s="5">
        <v>433.03</v>
      </c>
      <c r="J164" s="5">
        <v>82.87</v>
      </c>
      <c r="K164" s="5">
        <v>330.91</v>
      </c>
      <c r="L164" s="5">
        <v>98.19</v>
      </c>
      <c r="M164" s="5">
        <v>142.13</v>
      </c>
      <c r="N164" s="5">
        <v>150.94999999999999</v>
      </c>
      <c r="O164" s="5">
        <v>185.99</v>
      </c>
      <c r="P164" s="5">
        <v>197.53</v>
      </c>
    </row>
    <row r="165" spans="1:16" s="1" customFormat="1" ht="15" customHeight="1" x14ac:dyDescent="0.35">
      <c r="A165" s="1">
        <v>149</v>
      </c>
      <c r="B165" s="5">
        <v>30.87</v>
      </c>
      <c r="C165" s="5">
        <v>31.71</v>
      </c>
      <c r="D165" s="5">
        <v>34.26</v>
      </c>
      <c r="E165" s="5">
        <v>34.68</v>
      </c>
      <c r="F165" s="5">
        <v>38.68</v>
      </c>
      <c r="G165" s="5">
        <v>41.78</v>
      </c>
      <c r="H165" s="5">
        <v>47.07</v>
      </c>
      <c r="I165" s="5">
        <v>433.95</v>
      </c>
      <c r="J165" s="5">
        <v>84.62</v>
      </c>
      <c r="K165" s="5">
        <v>331.62</v>
      </c>
      <c r="L165" s="5">
        <v>99.05</v>
      </c>
      <c r="M165" s="5">
        <v>142.13999999999999</v>
      </c>
      <c r="N165" s="5">
        <v>151.79</v>
      </c>
      <c r="O165" s="5">
        <v>186</v>
      </c>
      <c r="P165" s="5">
        <v>198.64</v>
      </c>
    </row>
    <row r="166" spans="1:16" s="1" customFormat="1" ht="15" customHeight="1" x14ac:dyDescent="0.35">
      <c r="A166" s="1">
        <v>150</v>
      </c>
      <c r="B166" s="5">
        <v>30.87</v>
      </c>
      <c r="C166" s="5">
        <v>31.71</v>
      </c>
      <c r="D166" s="5">
        <v>34.26</v>
      </c>
      <c r="E166" s="5">
        <v>35.18</v>
      </c>
      <c r="F166" s="5">
        <v>38.68</v>
      </c>
      <c r="G166" s="5">
        <v>41.79</v>
      </c>
      <c r="H166" s="5">
        <v>47.07</v>
      </c>
      <c r="I166" s="5">
        <v>436.93</v>
      </c>
      <c r="J166" s="5">
        <v>85.43</v>
      </c>
      <c r="K166" s="5">
        <v>333.89</v>
      </c>
      <c r="L166" s="5">
        <v>99.06</v>
      </c>
      <c r="M166" s="5">
        <v>142.96</v>
      </c>
      <c r="N166" s="5">
        <v>152.6</v>
      </c>
      <c r="O166" s="5">
        <v>187.07</v>
      </c>
      <c r="P166" s="5">
        <v>199.69</v>
      </c>
    </row>
    <row r="167" spans="1:16" s="1" customFormat="1" ht="15" customHeight="1" x14ac:dyDescent="0.3">
      <c r="A167" s="1" t="s">
        <v>35</v>
      </c>
    </row>
    <row r="168" spans="1:16" s="1" customFormat="1" ht="15" customHeight="1" x14ac:dyDescent="0.3"/>
  </sheetData>
  <mergeCells count="3">
    <mergeCell ref="A1:G1"/>
    <mergeCell ref="H1:K1"/>
    <mergeCell ref="B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8603-C085-4958-B282-F5EA98262DA2}">
  <dimension ref="A1:S88"/>
  <sheetViews>
    <sheetView tabSelected="1" workbookViewId="0">
      <selection activeCell="M17" sqref="M17"/>
    </sheetView>
  </sheetViews>
  <sheetFormatPr defaultRowHeight="14.5" x14ac:dyDescent="0.35"/>
  <cols>
    <col min="1" max="1" width="39.08984375" customWidth="1"/>
  </cols>
  <sheetData>
    <row r="1" spans="1:13" s="6" customFormat="1" ht="15" customHeight="1" x14ac:dyDescent="0.35">
      <c r="A1" s="10" t="s">
        <v>154</v>
      </c>
      <c r="B1" s="10"/>
      <c r="C1" s="10"/>
      <c r="D1" s="10"/>
      <c r="E1" s="10"/>
      <c r="F1" s="10"/>
      <c r="G1" s="10"/>
      <c r="H1" s="11" t="s">
        <v>25</v>
      </c>
      <c r="I1" s="11"/>
      <c r="J1" s="11"/>
      <c r="K1" s="11"/>
    </row>
    <row r="2" spans="1:13" s="6" customFormat="1" ht="15" customHeight="1" x14ac:dyDescent="0.3"/>
    <row r="3" spans="1:13" s="6" customFormat="1" ht="15" customHeight="1" x14ac:dyDescent="0.3"/>
    <row r="4" spans="1:13" s="1" customFormat="1" ht="15" customHeight="1" x14ac:dyDescent="0.3"/>
    <row r="5" spans="1:13" s="1" customFormat="1" ht="15" customHeight="1" x14ac:dyDescent="0.3">
      <c r="A5" s="1" t="s">
        <v>26</v>
      </c>
    </row>
    <row r="6" spans="1:13" s="1" customFormat="1" ht="15" customHeight="1" x14ac:dyDescent="0.3">
      <c r="A6" s="1" t="s">
        <v>0</v>
      </c>
    </row>
    <row r="7" spans="1:13" s="1" customFormat="1" ht="15" customHeight="1" x14ac:dyDescent="0.3">
      <c r="A7" s="1" t="s">
        <v>0</v>
      </c>
    </row>
    <row r="8" spans="1:13" s="1" customFormat="1" ht="15" customHeight="1" x14ac:dyDescent="0.3">
      <c r="A8" s="1" t="s">
        <v>27</v>
      </c>
      <c r="B8" s="1" t="s">
        <v>28</v>
      </c>
    </row>
    <row r="9" spans="1:13" s="1" customFormat="1" ht="15" customHeight="1" x14ac:dyDescent="0.35">
      <c r="A9" s="1" t="s">
        <v>155</v>
      </c>
      <c r="B9" s="3">
        <v>4.4999999999999998E-2</v>
      </c>
    </row>
    <row r="10" spans="1:13" s="1" customFormat="1" ht="15" customHeight="1" x14ac:dyDescent="0.3"/>
    <row r="11" spans="1:13" s="1" customFormat="1" ht="15" customHeight="1" x14ac:dyDescent="0.3">
      <c r="A11" s="1" t="s">
        <v>60</v>
      </c>
    </row>
    <row r="12" spans="1:13" s="1" customFormat="1" ht="15" customHeight="1" x14ac:dyDescent="0.3">
      <c r="A12" s="1" t="s">
        <v>61</v>
      </c>
      <c r="B12" s="1" t="s">
        <v>156</v>
      </c>
    </row>
    <row r="13" spans="1:13" s="1" customFormat="1" ht="15" customHeight="1" x14ac:dyDescent="0.3">
      <c r="A13" s="1" t="s">
        <v>0</v>
      </c>
    </row>
    <row r="14" spans="1:13" s="1" customFormat="1" ht="15" customHeight="1" x14ac:dyDescent="0.35">
      <c r="A14" s="2" t="s">
        <v>32</v>
      </c>
      <c r="B14" s="8" t="s">
        <v>33</v>
      </c>
      <c r="C14" s="8"/>
    </row>
    <row r="15" spans="1:13" s="1" customFormat="1" ht="15" customHeight="1" x14ac:dyDescent="0.35">
      <c r="A15" s="2" t="s">
        <v>34</v>
      </c>
      <c r="B15" s="2">
        <v>2</v>
      </c>
      <c r="C15" s="2">
        <v>3</v>
      </c>
      <c r="D15" s="2">
        <v>4</v>
      </c>
      <c r="E15" s="2">
        <v>5</v>
      </c>
      <c r="F15" s="2">
        <v>6</v>
      </c>
      <c r="G15" s="2">
        <v>7</v>
      </c>
      <c r="H15" s="2">
        <v>8</v>
      </c>
      <c r="I15" s="2">
        <v>9</v>
      </c>
      <c r="J15" s="2">
        <v>10</v>
      </c>
      <c r="K15" s="2">
        <v>17</v>
      </c>
      <c r="L15" s="2">
        <v>26</v>
      </c>
      <c r="M15" s="2">
        <v>99</v>
      </c>
    </row>
    <row r="16" spans="1:13" s="1" customFormat="1" ht="15" customHeight="1" x14ac:dyDescent="0.3">
      <c r="A16" s="1" t="s">
        <v>0</v>
      </c>
    </row>
    <row r="17" spans="1:19" s="1" customFormat="1" ht="15" customHeight="1" x14ac:dyDescent="0.35">
      <c r="A17" s="1">
        <v>1</v>
      </c>
      <c r="B17" s="4">
        <v>6.87</v>
      </c>
      <c r="C17" s="4">
        <v>6.87</v>
      </c>
      <c r="D17" s="4">
        <v>6.87</v>
      </c>
      <c r="E17" s="4">
        <v>6.87</v>
      </c>
      <c r="F17" s="4">
        <v>6.87</v>
      </c>
      <c r="G17" s="4">
        <v>6.87</v>
      </c>
      <c r="H17" s="4">
        <v>6.87</v>
      </c>
      <c r="I17" s="4">
        <v>20.22</v>
      </c>
      <c r="J17" s="4">
        <v>20.22</v>
      </c>
      <c r="K17" s="4">
        <v>20.22</v>
      </c>
      <c r="L17" s="4">
        <v>20.22</v>
      </c>
      <c r="M17" s="4">
        <v>20.22</v>
      </c>
      <c r="O17" s="12">
        <v>13.85</v>
      </c>
      <c r="Q17" s="13">
        <f>O17-B17</f>
        <v>6.9799999999999995</v>
      </c>
      <c r="S17" s="1">
        <f>Q17/O17</f>
        <v>0.50397111913357395</v>
      </c>
    </row>
    <row r="18" spans="1:19" s="1" customFormat="1" ht="15" customHeight="1" x14ac:dyDescent="0.35">
      <c r="A18" s="1">
        <v>2</v>
      </c>
      <c r="B18" s="4">
        <v>6.87</v>
      </c>
      <c r="C18" s="4">
        <v>6.87</v>
      </c>
      <c r="D18" s="4">
        <v>6.87</v>
      </c>
      <c r="E18" s="4">
        <v>6.87</v>
      </c>
      <c r="F18" s="4">
        <v>6.87</v>
      </c>
      <c r="G18" s="5">
        <v>6.9</v>
      </c>
      <c r="H18" s="5">
        <v>7.02</v>
      </c>
      <c r="I18" s="4">
        <v>20.22</v>
      </c>
      <c r="J18" s="4">
        <v>20.22</v>
      </c>
      <c r="K18" s="4">
        <v>20.22</v>
      </c>
      <c r="L18" s="4">
        <v>20.22</v>
      </c>
      <c r="M18" s="4">
        <v>20.22</v>
      </c>
    </row>
    <row r="19" spans="1:19" s="1" customFormat="1" ht="15" customHeight="1" x14ac:dyDescent="0.35">
      <c r="A19" s="1">
        <v>3</v>
      </c>
      <c r="B19" s="4">
        <v>6.87</v>
      </c>
      <c r="C19" s="4">
        <v>6.87</v>
      </c>
      <c r="D19" s="4">
        <v>6.87</v>
      </c>
      <c r="E19" s="4">
        <v>6.87</v>
      </c>
      <c r="F19" s="5">
        <v>7.09</v>
      </c>
      <c r="G19" s="5">
        <v>7.36</v>
      </c>
      <c r="H19" s="5">
        <v>7.72</v>
      </c>
      <c r="I19" s="4">
        <v>20.22</v>
      </c>
      <c r="J19" s="4">
        <v>20.22</v>
      </c>
      <c r="K19" s="4">
        <v>20.22</v>
      </c>
      <c r="L19" s="4">
        <v>20.22</v>
      </c>
      <c r="M19" s="4">
        <v>20.22</v>
      </c>
    </row>
    <row r="20" spans="1:19" s="1" customFormat="1" ht="15" customHeight="1" x14ac:dyDescent="0.35">
      <c r="A20" s="1">
        <v>4</v>
      </c>
      <c r="B20" s="4">
        <v>6.87</v>
      </c>
      <c r="C20" s="4">
        <v>6.87</v>
      </c>
      <c r="D20" s="4">
        <v>6.87</v>
      </c>
      <c r="E20" s="5">
        <v>7.19</v>
      </c>
      <c r="F20" s="5">
        <v>7.39</v>
      </c>
      <c r="G20" s="5">
        <v>7.9</v>
      </c>
      <c r="H20" s="5">
        <v>8.27</v>
      </c>
      <c r="I20" s="4">
        <v>20.22</v>
      </c>
      <c r="J20" s="4">
        <v>20.22</v>
      </c>
      <c r="K20" s="4">
        <v>20.22</v>
      </c>
      <c r="L20" s="4">
        <v>20.22</v>
      </c>
      <c r="M20" s="4">
        <v>20.22</v>
      </c>
    </row>
    <row r="21" spans="1:19" s="1" customFormat="1" ht="15" customHeight="1" x14ac:dyDescent="0.35">
      <c r="A21" s="1">
        <v>5</v>
      </c>
      <c r="B21" s="4">
        <v>6.87</v>
      </c>
      <c r="C21" s="4">
        <v>6.87</v>
      </c>
      <c r="D21" s="5">
        <v>6.92</v>
      </c>
      <c r="E21" s="5">
        <v>7.51</v>
      </c>
      <c r="F21" s="5">
        <v>7.81</v>
      </c>
      <c r="G21" s="5">
        <v>8.27</v>
      </c>
      <c r="H21" s="5">
        <v>8.76</v>
      </c>
      <c r="I21" s="4">
        <v>20.22</v>
      </c>
      <c r="J21" s="4">
        <v>20.22</v>
      </c>
      <c r="K21" s="4">
        <v>20.22</v>
      </c>
      <c r="L21" s="4">
        <v>20.22</v>
      </c>
      <c r="M21" s="4">
        <v>20.22</v>
      </c>
    </row>
    <row r="22" spans="1:19" s="1" customFormat="1" ht="15" customHeight="1" x14ac:dyDescent="0.35">
      <c r="A22" s="1">
        <v>6</v>
      </c>
      <c r="B22" s="4">
        <v>6.87</v>
      </c>
      <c r="C22" s="4">
        <v>6.87</v>
      </c>
      <c r="D22" s="5">
        <v>6.99</v>
      </c>
      <c r="E22" s="5">
        <v>7.54</v>
      </c>
      <c r="F22" s="5">
        <v>7.82</v>
      </c>
      <c r="G22" s="5">
        <v>8.27</v>
      </c>
      <c r="H22" s="5">
        <v>8.77</v>
      </c>
      <c r="I22" s="4">
        <v>20.22</v>
      </c>
      <c r="J22" s="4">
        <v>20.22</v>
      </c>
      <c r="K22" s="4">
        <v>20.22</v>
      </c>
      <c r="L22" s="4">
        <v>20.22</v>
      </c>
      <c r="M22" s="4">
        <v>20.22</v>
      </c>
    </row>
    <row r="23" spans="1:19" s="1" customFormat="1" ht="15" customHeight="1" x14ac:dyDescent="0.35">
      <c r="A23" s="1">
        <v>7</v>
      </c>
      <c r="B23" s="4">
        <v>6.87</v>
      </c>
      <c r="C23" s="4">
        <v>6.87</v>
      </c>
      <c r="D23" s="5">
        <v>7.17</v>
      </c>
      <c r="E23" s="5">
        <v>7.78</v>
      </c>
      <c r="F23" s="5">
        <v>7.96</v>
      </c>
      <c r="G23" s="5">
        <v>8.5</v>
      </c>
      <c r="H23" s="5">
        <v>9.1</v>
      </c>
      <c r="I23" s="5">
        <v>20.78</v>
      </c>
      <c r="J23" s="5">
        <v>20.78</v>
      </c>
      <c r="K23" s="5">
        <v>20.78</v>
      </c>
      <c r="L23" s="5">
        <v>20.78</v>
      </c>
      <c r="M23" s="5">
        <v>20.78</v>
      </c>
    </row>
    <row r="24" spans="1:19" s="1" customFormat="1" ht="15" customHeight="1" x14ac:dyDescent="0.35">
      <c r="A24" s="1">
        <v>8</v>
      </c>
      <c r="B24" s="4">
        <v>6.87</v>
      </c>
      <c r="C24" s="4">
        <v>6.87</v>
      </c>
      <c r="D24" s="5">
        <v>7.42</v>
      </c>
      <c r="E24" s="5">
        <v>8</v>
      </c>
      <c r="F24" s="5">
        <v>8.2799999999999994</v>
      </c>
      <c r="G24" s="5">
        <v>8.84</v>
      </c>
      <c r="H24" s="5">
        <v>9.49</v>
      </c>
      <c r="I24" s="5">
        <v>22.18</v>
      </c>
      <c r="J24" s="5">
        <v>22.18</v>
      </c>
      <c r="K24" s="5">
        <v>22.18</v>
      </c>
      <c r="L24" s="5">
        <v>22.18</v>
      </c>
      <c r="M24" s="5">
        <v>22.18</v>
      </c>
    </row>
    <row r="25" spans="1:19" s="1" customFormat="1" ht="15" customHeight="1" x14ac:dyDescent="0.35">
      <c r="A25" s="1">
        <v>9</v>
      </c>
      <c r="B25" s="4">
        <v>6.87</v>
      </c>
      <c r="C25" s="4">
        <v>6.87</v>
      </c>
      <c r="D25" s="5">
        <v>7.45</v>
      </c>
      <c r="E25" s="5">
        <v>8.07</v>
      </c>
      <c r="F25" s="5">
        <v>8.4600000000000009</v>
      </c>
      <c r="G25" s="5">
        <v>9.2100000000000009</v>
      </c>
      <c r="H25" s="5">
        <v>10</v>
      </c>
      <c r="I25" s="5">
        <v>23.38</v>
      </c>
      <c r="J25" s="5">
        <v>23.38</v>
      </c>
      <c r="K25" s="5">
        <v>23.38</v>
      </c>
      <c r="L25" s="5">
        <v>23.38</v>
      </c>
      <c r="M25" s="5">
        <v>23.38</v>
      </c>
    </row>
    <row r="26" spans="1:19" s="1" customFormat="1" ht="15" customHeight="1" x14ac:dyDescent="0.35">
      <c r="A26" s="1">
        <v>10</v>
      </c>
      <c r="B26" s="5">
        <v>8.07</v>
      </c>
      <c r="C26" s="5">
        <v>8.67</v>
      </c>
      <c r="D26" s="5">
        <v>9.5</v>
      </c>
      <c r="E26" s="5">
        <v>10.47</v>
      </c>
      <c r="F26" s="5">
        <v>10.81</v>
      </c>
      <c r="G26" s="5">
        <v>12.01</v>
      </c>
      <c r="H26" s="5">
        <v>13.4</v>
      </c>
      <c r="I26" s="5">
        <v>25.66</v>
      </c>
      <c r="J26" s="5">
        <v>25.66</v>
      </c>
      <c r="K26" s="5">
        <v>25.66</v>
      </c>
      <c r="L26" s="5">
        <v>25.66</v>
      </c>
      <c r="M26" s="5">
        <v>25.66</v>
      </c>
    </row>
    <row r="27" spans="1:19" s="1" customFormat="1" ht="15" customHeight="1" x14ac:dyDescent="0.35">
      <c r="A27" s="1">
        <v>11</v>
      </c>
      <c r="B27" s="5">
        <v>8.52</v>
      </c>
      <c r="C27" s="5">
        <v>8.86</v>
      </c>
      <c r="D27" s="5">
        <v>9.7100000000000009</v>
      </c>
      <c r="E27" s="5">
        <v>10.53</v>
      </c>
      <c r="F27" s="5">
        <v>11.08</v>
      </c>
      <c r="G27" s="5">
        <v>13.05</v>
      </c>
      <c r="H27" s="5">
        <v>14.28</v>
      </c>
      <c r="I27" s="5">
        <v>27.45</v>
      </c>
      <c r="J27" s="5">
        <v>27.45</v>
      </c>
      <c r="K27" s="5">
        <v>27.45</v>
      </c>
      <c r="L27" s="5">
        <v>27.45</v>
      </c>
      <c r="M27" s="5">
        <v>27.45</v>
      </c>
    </row>
    <row r="28" spans="1:19" s="1" customFormat="1" ht="15" customHeight="1" x14ac:dyDescent="0.35">
      <c r="A28" s="1">
        <v>12</v>
      </c>
      <c r="B28" s="5">
        <v>8.59</v>
      </c>
      <c r="C28" s="5">
        <v>9.24</v>
      </c>
      <c r="D28" s="5">
        <v>9.8000000000000007</v>
      </c>
      <c r="E28" s="5">
        <v>10.68</v>
      </c>
      <c r="F28" s="5">
        <v>11.47</v>
      </c>
      <c r="G28" s="5">
        <v>13.68</v>
      </c>
      <c r="H28" s="5">
        <v>14.84</v>
      </c>
      <c r="I28" s="5">
        <v>29.45</v>
      </c>
      <c r="J28" s="5">
        <v>29.45</v>
      </c>
      <c r="K28" s="5">
        <v>29.45</v>
      </c>
      <c r="L28" s="5">
        <v>29.45</v>
      </c>
      <c r="M28" s="5">
        <v>29.45</v>
      </c>
    </row>
    <row r="29" spans="1:19" s="1" customFormat="1" ht="15" customHeight="1" x14ac:dyDescent="0.35">
      <c r="A29" s="1">
        <v>13</v>
      </c>
      <c r="B29" s="5">
        <v>8.6</v>
      </c>
      <c r="C29" s="5">
        <v>9.24</v>
      </c>
      <c r="D29" s="5">
        <v>9.84</v>
      </c>
      <c r="E29" s="5">
        <v>10.8</v>
      </c>
      <c r="F29" s="5">
        <v>11.83</v>
      </c>
      <c r="G29" s="5">
        <v>14.4</v>
      </c>
      <c r="H29" s="5">
        <v>15.51</v>
      </c>
      <c r="I29" s="5">
        <v>31.46</v>
      </c>
      <c r="J29" s="5">
        <v>31.46</v>
      </c>
      <c r="K29" s="5">
        <v>31.46</v>
      </c>
      <c r="L29" s="5">
        <v>31.46</v>
      </c>
      <c r="M29" s="5">
        <v>31.46</v>
      </c>
    </row>
    <row r="30" spans="1:19" s="1" customFormat="1" ht="15" customHeight="1" x14ac:dyDescent="0.35">
      <c r="A30" s="1">
        <v>14</v>
      </c>
      <c r="B30" s="5">
        <v>9.02</v>
      </c>
      <c r="C30" s="5">
        <v>9.5299999999999994</v>
      </c>
      <c r="D30" s="5">
        <v>10.01</v>
      </c>
      <c r="E30" s="5">
        <v>11.15</v>
      </c>
      <c r="F30" s="5">
        <v>12.52</v>
      </c>
      <c r="G30" s="5">
        <v>15.55</v>
      </c>
      <c r="H30" s="5">
        <v>16.86</v>
      </c>
      <c r="I30" s="5">
        <v>33.5</v>
      </c>
      <c r="J30" s="5">
        <v>33.5</v>
      </c>
      <c r="K30" s="5">
        <v>33.5</v>
      </c>
      <c r="L30" s="5">
        <v>33.5</v>
      </c>
      <c r="M30" s="5">
        <v>33.5</v>
      </c>
    </row>
    <row r="31" spans="1:19" s="1" customFormat="1" ht="15" customHeight="1" x14ac:dyDescent="0.35">
      <c r="A31" s="1">
        <v>15</v>
      </c>
      <c r="B31" s="5">
        <v>9.0299999999999994</v>
      </c>
      <c r="C31" s="5">
        <v>9.66</v>
      </c>
      <c r="D31" s="5">
        <v>10.16</v>
      </c>
      <c r="E31" s="5">
        <v>11.46</v>
      </c>
      <c r="F31" s="5">
        <v>13.21</v>
      </c>
      <c r="G31" s="5">
        <v>15.91</v>
      </c>
      <c r="H31" s="5">
        <v>17.559999999999999</v>
      </c>
      <c r="I31" s="5">
        <v>35.479999999999997</v>
      </c>
      <c r="J31" s="5">
        <v>35.479999999999997</v>
      </c>
      <c r="K31" s="5">
        <v>35.479999999999997</v>
      </c>
      <c r="L31" s="5">
        <v>35.479999999999997</v>
      </c>
      <c r="M31" s="5">
        <v>35.479999999999997</v>
      </c>
    </row>
    <row r="32" spans="1:19" s="1" customFormat="1" ht="15" customHeight="1" x14ac:dyDescent="0.35">
      <c r="A32" s="1">
        <v>16</v>
      </c>
      <c r="B32" s="5">
        <v>9.5399999999999991</v>
      </c>
      <c r="C32" s="5">
        <v>10.33</v>
      </c>
      <c r="D32" s="5">
        <v>10.66</v>
      </c>
      <c r="E32" s="5">
        <v>12.1</v>
      </c>
      <c r="F32" s="5">
        <v>14.16</v>
      </c>
      <c r="G32" s="5">
        <v>17.39</v>
      </c>
      <c r="H32" s="5">
        <v>18.989999999999998</v>
      </c>
      <c r="I32" s="5">
        <v>37.159999999999997</v>
      </c>
      <c r="J32" s="5">
        <v>37.159999999999997</v>
      </c>
      <c r="K32" s="5">
        <v>37.159999999999997</v>
      </c>
      <c r="L32" s="5">
        <v>37.159999999999997</v>
      </c>
      <c r="M32" s="5">
        <v>37.159999999999997</v>
      </c>
    </row>
    <row r="33" spans="1:13" s="1" customFormat="1" ht="15" customHeight="1" x14ac:dyDescent="0.35">
      <c r="A33" s="1">
        <v>17</v>
      </c>
      <c r="B33" s="5">
        <v>9.61</v>
      </c>
      <c r="C33" s="5">
        <v>10.55</v>
      </c>
      <c r="D33" s="5">
        <v>10.77</v>
      </c>
      <c r="E33" s="5">
        <v>12.44</v>
      </c>
      <c r="F33" s="5">
        <v>14.65</v>
      </c>
      <c r="G33" s="5">
        <v>18.14</v>
      </c>
      <c r="H33" s="5">
        <v>18.989999999999998</v>
      </c>
      <c r="I33" s="5">
        <v>39.01</v>
      </c>
      <c r="J33" s="5">
        <v>39.01</v>
      </c>
      <c r="K33" s="5">
        <v>39.01</v>
      </c>
      <c r="L33" s="5">
        <v>39.01</v>
      </c>
      <c r="M33" s="5">
        <v>39.01</v>
      </c>
    </row>
    <row r="34" spans="1:13" s="1" customFormat="1" ht="15" customHeight="1" x14ac:dyDescent="0.35">
      <c r="A34" s="1">
        <v>18</v>
      </c>
      <c r="B34" s="5">
        <v>9.7100000000000009</v>
      </c>
      <c r="C34" s="5">
        <v>10.68</v>
      </c>
      <c r="D34" s="5">
        <v>10.88</v>
      </c>
      <c r="E34" s="5">
        <v>13.04</v>
      </c>
      <c r="F34" s="5">
        <v>15.42</v>
      </c>
      <c r="G34" s="5">
        <v>18.829999999999998</v>
      </c>
      <c r="H34" s="5">
        <v>20.48</v>
      </c>
      <c r="I34" s="5">
        <v>40.99</v>
      </c>
      <c r="J34" s="5">
        <v>40.99</v>
      </c>
      <c r="K34" s="5">
        <v>40.99</v>
      </c>
      <c r="L34" s="5">
        <v>40.99</v>
      </c>
      <c r="M34" s="5">
        <v>40.99</v>
      </c>
    </row>
    <row r="35" spans="1:13" s="1" customFormat="1" ht="15" customHeight="1" x14ac:dyDescent="0.35">
      <c r="A35" s="1">
        <v>19</v>
      </c>
      <c r="B35" s="5">
        <v>9.9600000000000009</v>
      </c>
      <c r="C35" s="5">
        <v>11.2</v>
      </c>
      <c r="D35" s="5">
        <v>11.44</v>
      </c>
      <c r="E35" s="5">
        <v>13.65</v>
      </c>
      <c r="F35" s="5">
        <v>15.87</v>
      </c>
      <c r="G35" s="5">
        <v>19.25</v>
      </c>
      <c r="H35" s="5">
        <v>21.63</v>
      </c>
      <c r="I35" s="5">
        <v>42.95</v>
      </c>
      <c r="J35" s="5">
        <v>42.95</v>
      </c>
      <c r="K35" s="5">
        <v>42.95</v>
      </c>
      <c r="L35" s="5">
        <v>42.95</v>
      </c>
      <c r="M35" s="5">
        <v>42.95</v>
      </c>
    </row>
    <row r="36" spans="1:13" s="1" customFormat="1" ht="15" customHeight="1" x14ac:dyDescent="0.35">
      <c r="A36" s="1">
        <v>20</v>
      </c>
      <c r="B36" s="5">
        <v>9.9600000000000009</v>
      </c>
      <c r="C36" s="5">
        <v>11.21</v>
      </c>
      <c r="D36" s="5">
        <v>11.45</v>
      </c>
      <c r="E36" s="5">
        <v>14.09</v>
      </c>
      <c r="F36" s="5">
        <v>16.41</v>
      </c>
      <c r="G36" s="5">
        <v>19.97</v>
      </c>
      <c r="H36" s="5">
        <v>22.24</v>
      </c>
      <c r="I36" s="5">
        <v>44.97</v>
      </c>
      <c r="J36" s="5">
        <v>44.97</v>
      </c>
      <c r="K36" s="5">
        <v>44.97</v>
      </c>
      <c r="L36" s="5">
        <v>44.97</v>
      </c>
      <c r="M36" s="5">
        <v>44.97</v>
      </c>
    </row>
    <row r="37" spans="1:13" s="1" customFormat="1" ht="15" customHeight="1" x14ac:dyDescent="0.35">
      <c r="A37" s="1">
        <v>21</v>
      </c>
      <c r="B37" s="5">
        <v>10.38</v>
      </c>
      <c r="C37" s="5">
        <v>11.64</v>
      </c>
      <c r="D37" s="5">
        <v>12.06</v>
      </c>
      <c r="E37" s="5">
        <v>14.36</v>
      </c>
      <c r="F37" s="5">
        <v>16.920000000000002</v>
      </c>
      <c r="G37" s="5">
        <v>20.53</v>
      </c>
      <c r="H37" s="5">
        <v>22.92</v>
      </c>
      <c r="I37" s="5">
        <v>46.86</v>
      </c>
      <c r="J37" s="5">
        <v>46.86</v>
      </c>
      <c r="K37" s="5">
        <v>46.86</v>
      </c>
      <c r="L37" s="5">
        <v>46.86</v>
      </c>
      <c r="M37" s="5">
        <v>46.86</v>
      </c>
    </row>
    <row r="38" spans="1:13" s="1" customFormat="1" ht="15" customHeight="1" x14ac:dyDescent="0.35">
      <c r="A38" s="1">
        <v>22</v>
      </c>
      <c r="B38" s="5">
        <v>10.39</v>
      </c>
      <c r="C38" s="5">
        <v>11.85</v>
      </c>
      <c r="D38" s="5">
        <v>12.48</v>
      </c>
      <c r="E38" s="5">
        <v>14.75</v>
      </c>
      <c r="F38" s="5">
        <v>17.61</v>
      </c>
      <c r="G38" s="5">
        <v>21.28</v>
      </c>
      <c r="H38" s="5">
        <v>23.93</v>
      </c>
      <c r="I38" s="5">
        <v>48.88</v>
      </c>
      <c r="J38" s="5">
        <v>48.88</v>
      </c>
      <c r="K38" s="5">
        <v>48.88</v>
      </c>
      <c r="L38" s="5">
        <v>48.88</v>
      </c>
      <c r="M38" s="5">
        <v>48.88</v>
      </c>
    </row>
    <row r="39" spans="1:13" s="1" customFormat="1" ht="15" customHeight="1" x14ac:dyDescent="0.35">
      <c r="A39" s="1">
        <v>23</v>
      </c>
      <c r="B39" s="5">
        <v>10.4</v>
      </c>
      <c r="C39" s="5">
        <v>11.99</v>
      </c>
      <c r="D39" s="5">
        <v>12.66</v>
      </c>
      <c r="E39" s="5">
        <v>14.92</v>
      </c>
      <c r="F39" s="5">
        <v>18.28</v>
      </c>
      <c r="G39" s="5">
        <v>21.79</v>
      </c>
      <c r="H39" s="5">
        <v>24.88</v>
      </c>
      <c r="I39" s="5">
        <v>50.9</v>
      </c>
      <c r="J39" s="5">
        <v>50.9</v>
      </c>
      <c r="K39" s="5">
        <v>50.9</v>
      </c>
      <c r="L39" s="5">
        <v>50.9</v>
      </c>
      <c r="M39" s="5">
        <v>50.9</v>
      </c>
    </row>
    <row r="40" spans="1:13" s="1" customFormat="1" ht="15" customHeight="1" x14ac:dyDescent="0.35">
      <c r="A40" s="1">
        <v>24</v>
      </c>
      <c r="B40" s="5">
        <v>10.76</v>
      </c>
      <c r="C40" s="5">
        <v>12.56</v>
      </c>
      <c r="D40" s="5">
        <v>13.42</v>
      </c>
      <c r="E40" s="5">
        <v>15.83</v>
      </c>
      <c r="F40" s="5">
        <v>19.29</v>
      </c>
      <c r="G40" s="5">
        <v>22.52</v>
      </c>
      <c r="H40" s="5">
        <v>26.3</v>
      </c>
      <c r="I40" s="5">
        <v>52.86</v>
      </c>
      <c r="J40" s="5">
        <v>52.86</v>
      </c>
      <c r="K40" s="5">
        <v>52.86</v>
      </c>
      <c r="L40" s="5">
        <v>52.86</v>
      </c>
      <c r="M40" s="5">
        <v>52.86</v>
      </c>
    </row>
    <row r="41" spans="1:13" s="1" customFormat="1" ht="15" customHeight="1" x14ac:dyDescent="0.35">
      <c r="A41" s="1">
        <v>25</v>
      </c>
      <c r="B41" s="5">
        <v>10.77</v>
      </c>
      <c r="C41" s="5">
        <v>12.61</v>
      </c>
      <c r="D41" s="5">
        <v>13.47</v>
      </c>
      <c r="E41" s="5">
        <v>16.14</v>
      </c>
      <c r="F41" s="5">
        <v>19.7</v>
      </c>
      <c r="G41" s="5">
        <v>23.76</v>
      </c>
      <c r="H41" s="5">
        <v>27.11</v>
      </c>
      <c r="I41" s="5">
        <v>54.83</v>
      </c>
      <c r="J41" s="5">
        <v>54.83</v>
      </c>
      <c r="K41" s="5">
        <v>54.83</v>
      </c>
      <c r="L41" s="5">
        <v>54.83</v>
      </c>
      <c r="M41" s="5">
        <v>54.83</v>
      </c>
    </row>
    <row r="42" spans="1:13" s="1" customFormat="1" ht="15" customHeight="1" x14ac:dyDescent="0.35">
      <c r="A42" s="1">
        <v>26</v>
      </c>
      <c r="B42" s="5">
        <v>11.32</v>
      </c>
      <c r="C42" s="5">
        <v>13.05</v>
      </c>
      <c r="D42" s="5">
        <v>14.04</v>
      </c>
      <c r="E42" s="5">
        <v>16.8</v>
      </c>
      <c r="F42" s="5">
        <v>20.420000000000002</v>
      </c>
      <c r="G42" s="5">
        <v>24.74</v>
      </c>
      <c r="H42" s="5">
        <v>28.23</v>
      </c>
      <c r="I42" s="5">
        <v>56.79</v>
      </c>
      <c r="J42" s="5">
        <v>56.79</v>
      </c>
      <c r="K42" s="5">
        <v>56.79</v>
      </c>
      <c r="L42" s="5">
        <v>56.79</v>
      </c>
      <c r="M42" s="5">
        <v>56.79</v>
      </c>
    </row>
    <row r="43" spans="1:13" s="1" customFormat="1" ht="15" customHeight="1" x14ac:dyDescent="0.35">
      <c r="A43" s="1">
        <v>27</v>
      </c>
      <c r="B43" s="5">
        <v>11.64</v>
      </c>
      <c r="C43" s="5">
        <v>13.36</v>
      </c>
      <c r="D43" s="5">
        <v>14.31</v>
      </c>
      <c r="E43" s="5">
        <v>17.07</v>
      </c>
      <c r="F43" s="5">
        <v>21.24</v>
      </c>
      <c r="G43" s="5">
        <v>25.2</v>
      </c>
      <c r="H43" s="5">
        <v>28.71</v>
      </c>
      <c r="I43" s="5">
        <v>58.78</v>
      </c>
      <c r="J43" s="5">
        <v>58.78</v>
      </c>
      <c r="K43" s="5">
        <v>58.78</v>
      </c>
      <c r="L43" s="5">
        <v>58.78</v>
      </c>
      <c r="M43" s="5">
        <v>58.78</v>
      </c>
    </row>
    <row r="44" spans="1:13" s="1" customFormat="1" ht="15" customHeight="1" x14ac:dyDescent="0.35">
      <c r="A44" s="1">
        <v>28</v>
      </c>
      <c r="B44" s="5">
        <v>11.91</v>
      </c>
      <c r="C44" s="5">
        <v>13.68</v>
      </c>
      <c r="D44" s="5">
        <v>14.87</v>
      </c>
      <c r="E44" s="5">
        <v>17.940000000000001</v>
      </c>
      <c r="F44" s="5">
        <v>22.28</v>
      </c>
      <c r="G44" s="5">
        <v>26.33</v>
      </c>
      <c r="H44" s="5">
        <v>29.8</v>
      </c>
      <c r="I44" s="5">
        <v>60.85</v>
      </c>
      <c r="J44" s="5">
        <v>60.85</v>
      </c>
      <c r="K44" s="5">
        <v>60.85</v>
      </c>
      <c r="L44" s="5">
        <v>60.85</v>
      </c>
      <c r="M44" s="5">
        <v>60.85</v>
      </c>
    </row>
    <row r="45" spans="1:13" s="1" customFormat="1" ht="15" customHeight="1" x14ac:dyDescent="0.35">
      <c r="A45" s="1">
        <v>29</v>
      </c>
      <c r="B45" s="5">
        <v>11.91</v>
      </c>
      <c r="C45" s="5">
        <v>13.94</v>
      </c>
      <c r="D45" s="5">
        <v>15</v>
      </c>
      <c r="E45" s="5">
        <v>17.95</v>
      </c>
      <c r="F45" s="5">
        <v>22.92</v>
      </c>
      <c r="G45" s="5">
        <v>26.93</v>
      </c>
      <c r="H45" s="5">
        <v>30.6</v>
      </c>
      <c r="I45" s="5">
        <v>62.9</v>
      </c>
      <c r="J45" s="5">
        <v>62.9</v>
      </c>
      <c r="K45" s="5">
        <v>62.9</v>
      </c>
      <c r="L45" s="5">
        <v>62.9</v>
      </c>
      <c r="M45" s="5">
        <v>62.9</v>
      </c>
    </row>
    <row r="46" spans="1:13" s="1" customFormat="1" ht="15" customHeight="1" x14ac:dyDescent="0.35">
      <c r="A46" s="1">
        <v>30</v>
      </c>
      <c r="B46" s="5">
        <v>11.96</v>
      </c>
      <c r="C46" s="5">
        <v>14.28</v>
      </c>
      <c r="D46" s="5">
        <v>15.57</v>
      </c>
      <c r="E46" s="5">
        <v>18.66</v>
      </c>
      <c r="F46" s="5">
        <v>23.29</v>
      </c>
      <c r="G46" s="5">
        <v>27.06</v>
      </c>
      <c r="H46" s="5">
        <v>31.87</v>
      </c>
      <c r="I46" s="5">
        <v>64.91</v>
      </c>
      <c r="J46" s="5">
        <v>64.91</v>
      </c>
      <c r="K46" s="5">
        <v>64.91</v>
      </c>
      <c r="L46" s="5">
        <v>64.91</v>
      </c>
      <c r="M46" s="5">
        <v>64.91</v>
      </c>
    </row>
    <row r="47" spans="1:13" s="1" customFormat="1" ht="15" customHeight="1" x14ac:dyDescent="0.35">
      <c r="A47" s="1">
        <v>31</v>
      </c>
      <c r="B47" s="5">
        <v>12.57</v>
      </c>
      <c r="C47" s="5">
        <v>14.59</v>
      </c>
      <c r="D47" s="5">
        <v>16.010000000000002</v>
      </c>
      <c r="E47" s="5">
        <v>19.04</v>
      </c>
      <c r="F47" s="5">
        <v>23.96</v>
      </c>
      <c r="G47" s="5">
        <v>28.06</v>
      </c>
      <c r="H47" s="5">
        <v>32.89</v>
      </c>
      <c r="I47" s="5">
        <v>66.87</v>
      </c>
      <c r="J47" s="5">
        <v>66.87</v>
      </c>
      <c r="K47" s="5">
        <v>66.87</v>
      </c>
      <c r="L47" s="5">
        <v>66.87</v>
      </c>
      <c r="M47" s="5">
        <v>66.87</v>
      </c>
    </row>
    <row r="48" spans="1:13" s="1" customFormat="1" ht="15" customHeight="1" x14ac:dyDescent="0.35">
      <c r="A48" s="1">
        <v>32</v>
      </c>
      <c r="B48" s="5">
        <v>12.58</v>
      </c>
      <c r="C48" s="5">
        <v>14.6</v>
      </c>
      <c r="D48" s="5">
        <v>16.02</v>
      </c>
      <c r="E48" s="5">
        <v>19.05</v>
      </c>
      <c r="F48" s="5">
        <v>23.97</v>
      </c>
      <c r="G48" s="5">
        <v>28.07</v>
      </c>
      <c r="H48" s="5">
        <v>33.25</v>
      </c>
      <c r="I48" s="5">
        <v>68.89</v>
      </c>
      <c r="J48" s="5">
        <v>68.89</v>
      </c>
      <c r="K48" s="5">
        <v>68.89</v>
      </c>
      <c r="L48" s="5">
        <v>68.89</v>
      </c>
      <c r="M48" s="5">
        <v>68.89</v>
      </c>
    </row>
    <row r="49" spans="1:13" s="1" customFormat="1" ht="15" customHeight="1" x14ac:dyDescent="0.35">
      <c r="A49" s="1">
        <v>33</v>
      </c>
      <c r="B49" s="5">
        <v>12.62</v>
      </c>
      <c r="C49" s="5">
        <v>14.81</v>
      </c>
      <c r="D49" s="5">
        <v>16.739999999999998</v>
      </c>
      <c r="E49" s="5">
        <v>19.940000000000001</v>
      </c>
      <c r="F49" s="5">
        <v>25.48</v>
      </c>
      <c r="G49" s="5">
        <v>29</v>
      </c>
      <c r="H49" s="5">
        <v>34.15</v>
      </c>
      <c r="I49" s="5">
        <v>70.84</v>
      </c>
      <c r="J49" s="5">
        <v>70.84</v>
      </c>
      <c r="K49" s="5">
        <v>70.84</v>
      </c>
      <c r="L49" s="5">
        <v>70.84</v>
      </c>
      <c r="M49" s="5">
        <v>70.84</v>
      </c>
    </row>
    <row r="50" spans="1:13" s="1" customFormat="1" ht="15" customHeight="1" x14ac:dyDescent="0.35">
      <c r="A50" s="1">
        <v>34</v>
      </c>
      <c r="B50" s="5">
        <v>12.63</v>
      </c>
      <c r="C50" s="5">
        <v>15.14</v>
      </c>
      <c r="D50" s="5">
        <v>17.27</v>
      </c>
      <c r="E50" s="5">
        <v>20.63</v>
      </c>
      <c r="F50" s="5">
        <v>25.48</v>
      </c>
      <c r="G50" s="5">
        <v>29.86</v>
      </c>
      <c r="H50" s="5">
        <v>35.79</v>
      </c>
      <c r="I50" s="5">
        <v>72.819999999999993</v>
      </c>
      <c r="J50" s="5">
        <v>72.819999999999993</v>
      </c>
      <c r="K50" s="5">
        <v>72.819999999999993</v>
      </c>
      <c r="L50" s="5">
        <v>72.819999999999993</v>
      </c>
      <c r="M50" s="5">
        <v>72.819999999999993</v>
      </c>
    </row>
    <row r="51" spans="1:13" s="1" customFormat="1" ht="15" customHeight="1" x14ac:dyDescent="0.35">
      <c r="A51" s="1">
        <v>35</v>
      </c>
      <c r="B51" s="5">
        <v>12.87</v>
      </c>
      <c r="C51" s="5">
        <v>15.83</v>
      </c>
      <c r="D51" s="5">
        <v>17.7</v>
      </c>
      <c r="E51" s="5">
        <v>20.97</v>
      </c>
      <c r="F51" s="5">
        <v>25.92</v>
      </c>
      <c r="G51" s="5">
        <v>30.63</v>
      </c>
      <c r="H51" s="5">
        <v>36.04</v>
      </c>
      <c r="I51" s="5">
        <v>74.709999999999994</v>
      </c>
      <c r="J51" s="5">
        <v>74.709999999999994</v>
      </c>
      <c r="K51" s="5">
        <v>74.709999999999994</v>
      </c>
      <c r="L51" s="5">
        <v>74.709999999999994</v>
      </c>
      <c r="M51" s="5">
        <v>74.709999999999994</v>
      </c>
    </row>
    <row r="52" spans="1:13" s="1" customFormat="1" ht="15" customHeight="1" x14ac:dyDescent="0.35">
      <c r="A52" s="1">
        <v>36</v>
      </c>
      <c r="B52" s="5">
        <v>13.06</v>
      </c>
      <c r="C52" s="5">
        <v>15.95</v>
      </c>
      <c r="D52" s="5">
        <v>17.98</v>
      </c>
      <c r="E52" s="5">
        <v>21.65</v>
      </c>
      <c r="F52" s="5">
        <v>27.01</v>
      </c>
      <c r="G52" s="5">
        <v>31.67</v>
      </c>
      <c r="H52" s="5">
        <v>37.450000000000003</v>
      </c>
      <c r="I52" s="5">
        <v>76.489999999999995</v>
      </c>
      <c r="J52" s="5">
        <v>76.489999999999995</v>
      </c>
      <c r="K52" s="5">
        <v>76.489999999999995</v>
      </c>
      <c r="L52" s="5">
        <v>76.489999999999995</v>
      </c>
      <c r="M52" s="5">
        <v>76.489999999999995</v>
      </c>
    </row>
    <row r="53" spans="1:13" s="1" customFormat="1" ht="15" customHeight="1" x14ac:dyDescent="0.35">
      <c r="A53" s="1">
        <v>37</v>
      </c>
      <c r="B53" s="5">
        <v>13.35</v>
      </c>
      <c r="C53" s="5">
        <v>16.170000000000002</v>
      </c>
      <c r="D53" s="5">
        <v>18.170000000000002</v>
      </c>
      <c r="E53" s="5">
        <v>21.97</v>
      </c>
      <c r="F53" s="5">
        <v>27.13</v>
      </c>
      <c r="G53" s="5">
        <v>32.700000000000003</v>
      </c>
      <c r="H53" s="5">
        <v>37.82</v>
      </c>
      <c r="I53" s="5">
        <v>77.95</v>
      </c>
      <c r="J53" s="5">
        <v>77.95</v>
      </c>
      <c r="K53" s="5">
        <v>77.95</v>
      </c>
      <c r="L53" s="5">
        <v>77.95</v>
      </c>
      <c r="M53" s="5">
        <v>77.95</v>
      </c>
    </row>
    <row r="54" spans="1:13" s="1" customFormat="1" ht="15" customHeight="1" x14ac:dyDescent="0.35">
      <c r="A54" s="1">
        <v>38</v>
      </c>
      <c r="B54" s="5">
        <v>13.46</v>
      </c>
      <c r="C54" s="5">
        <v>16.41</v>
      </c>
      <c r="D54" s="5">
        <v>18.75</v>
      </c>
      <c r="E54" s="5">
        <v>22.5</v>
      </c>
      <c r="F54" s="5">
        <v>27.74</v>
      </c>
      <c r="G54" s="5">
        <v>32.83</v>
      </c>
      <c r="H54" s="5">
        <v>38.520000000000003</v>
      </c>
      <c r="I54" s="5">
        <v>79.44</v>
      </c>
      <c r="J54" s="5">
        <v>79.44</v>
      </c>
      <c r="K54" s="5">
        <v>79.44</v>
      </c>
      <c r="L54" s="5">
        <v>79.44</v>
      </c>
      <c r="M54" s="5">
        <v>79.44</v>
      </c>
    </row>
    <row r="55" spans="1:13" s="1" customFormat="1" ht="15" customHeight="1" x14ac:dyDescent="0.35">
      <c r="A55" s="1">
        <v>39</v>
      </c>
      <c r="B55" s="5">
        <v>14.01</v>
      </c>
      <c r="C55" s="5">
        <v>17.05</v>
      </c>
      <c r="D55" s="5">
        <v>19.55</v>
      </c>
      <c r="E55" s="5">
        <v>23.36</v>
      </c>
      <c r="F55" s="5">
        <v>29</v>
      </c>
      <c r="G55" s="5">
        <v>34.119999999999997</v>
      </c>
      <c r="H55" s="5">
        <v>39.31</v>
      </c>
      <c r="I55" s="5">
        <v>80.88</v>
      </c>
      <c r="J55" s="5">
        <v>80.88</v>
      </c>
      <c r="K55" s="5">
        <v>80.88</v>
      </c>
      <c r="L55" s="5">
        <v>80.88</v>
      </c>
      <c r="M55" s="5">
        <v>80.88</v>
      </c>
    </row>
    <row r="56" spans="1:13" s="1" customFormat="1" ht="15" customHeight="1" x14ac:dyDescent="0.35">
      <c r="A56" s="1">
        <v>40</v>
      </c>
      <c r="B56" s="5">
        <v>14.02</v>
      </c>
      <c r="C56" s="5">
        <v>17.12</v>
      </c>
      <c r="D56" s="5">
        <v>19.55</v>
      </c>
      <c r="E56" s="5">
        <v>23.37</v>
      </c>
      <c r="F56" s="5">
        <v>29.04</v>
      </c>
      <c r="G56" s="5">
        <v>34.119999999999997</v>
      </c>
      <c r="H56" s="5">
        <v>39.33</v>
      </c>
      <c r="I56" s="5">
        <v>82.34</v>
      </c>
      <c r="J56" s="5">
        <v>82.34</v>
      </c>
      <c r="K56" s="5">
        <v>82.34</v>
      </c>
      <c r="L56" s="5">
        <v>82.34</v>
      </c>
      <c r="M56" s="5">
        <v>82.34</v>
      </c>
    </row>
    <row r="57" spans="1:13" s="1" customFormat="1" ht="15" customHeight="1" x14ac:dyDescent="0.35">
      <c r="A57" s="1">
        <v>41</v>
      </c>
      <c r="B57" s="5">
        <v>14.34</v>
      </c>
      <c r="C57" s="5">
        <v>17.850000000000001</v>
      </c>
      <c r="D57" s="5">
        <v>20.12</v>
      </c>
      <c r="E57" s="5">
        <v>24.2</v>
      </c>
      <c r="F57" s="5">
        <v>30.38</v>
      </c>
      <c r="G57" s="5">
        <v>35.17</v>
      </c>
      <c r="H57" s="5">
        <v>41.02</v>
      </c>
      <c r="I57" s="5">
        <v>83.83</v>
      </c>
      <c r="J57" s="5">
        <v>83.83</v>
      </c>
      <c r="K57" s="5">
        <v>83.83</v>
      </c>
      <c r="L57" s="5">
        <v>83.83</v>
      </c>
      <c r="M57" s="5">
        <v>83.83</v>
      </c>
    </row>
    <row r="58" spans="1:13" s="1" customFormat="1" ht="15" customHeight="1" x14ac:dyDescent="0.35">
      <c r="A58" s="1">
        <v>42</v>
      </c>
      <c r="B58" s="5">
        <v>14.35</v>
      </c>
      <c r="C58" s="5">
        <v>17.920000000000002</v>
      </c>
      <c r="D58" s="5">
        <v>20.9</v>
      </c>
      <c r="E58" s="5">
        <v>24.2</v>
      </c>
      <c r="F58" s="5">
        <v>30.39</v>
      </c>
      <c r="G58" s="5">
        <v>35.770000000000003</v>
      </c>
      <c r="H58" s="5">
        <v>41.02</v>
      </c>
      <c r="I58" s="5">
        <v>85.29</v>
      </c>
      <c r="J58" s="5">
        <v>85.29</v>
      </c>
      <c r="K58" s="5">
        <v>85.29</v>
      </c>
      <c r="L58" s="5">
        <v>85.29</v>
      </c>
      <c r="M58" s="5">
        <v>85.29</v>
      </c>
    </row>
    <row r="59" spans="1:13" s="1" customFormat="1" ht="15" customHeight="1" x14ac:dyDescent="0.35">
      <c r="A59" s="1">
        <v>43</v>
      </c>
      <c r="B59" s="5">
        <v>14.62</v>
      </c>
      <c r="C59" s="5">
        <v>18.18</v>
      </c>
      <c r="D59" s="5">
        <v>20.94</v>
      </c>
      <c r="E59" s="5">
        <v>25.51</v>
      </c>
      <c r="F59" s="5">
        <v>32.21</v>
      </c>
      <c r="G59" s="5">
        <v>37.07</v>
      </c>
      <c r="H59" s="5">
        <v>42.14</v>
      </c>
      <c r="I59" s="5">
        <v>86.77</v>
      </c>
      <c r="J59" s="5">
        <v>86.77</v>
      </c>
      <c r="K59" s="5">
        <v>86.77</v>
      </c>
      <c r="L59" s="5">
        <v>86.77</v>
      </c>
      <c r="M59" s="5">
        <v>86.77</v>
      </c>
    </row>
    <row r="60" spans="1:13" s="1" customFormat="1" ht="15" customHeight="1" x14ac:dyDescent="0.35">
      <c r="A60" s="1">
        <v>44</v>
      </c>
      <c r="B60" s="5">
        <v>14.83</v>
      </c>
      <c r="C60" s="5">
        <v>18.45</v>
      </c>
      <c r="D60" s="5">
        <v>21.47</v>
      </c>
      <c r="E60" s="5">
        <v>25.97</v>
      </c>
      <c r="F60" s="5">
        <v>32.22</v>
      </c>
      <c r="G60" s="5">
        <v>38.22</v>
      </c>
      <c r="H60" s="5">
        <v>42.57</v>
      </c>
      <c r="I60" s="5">
        <v>88.22</v>
      </c>
      <c r="J60" s="5">
        <v>88.22</v>
      </c>
      <c r="K60" s="5">
        <v>88.22</v>
      </c>
      <c r="L60" s="5">
        <v>88.22</v>
      </c>
      <c r="M60" s="5">
        <v>88.22</v>
      </c>
    </row>
    <row r="61" spans="1:13" s="1" customFormat="1" ht="15" customHeight="1" x14ac:dyDescent="0.35">
      <c r="A61" s="1">
        <v>45</v>
      </c>
      <c r="B61" s="5">
        <v>14.84</v>
      </c>
      <c r="C61" s="5">
        <v>18.46</v>
      </c>
      <c r="D61" s="5">
        <v>21.48</v>
      </c>
      <c r="E61" s="5">
        <v>25.98</v>
      </c>
      <c r="F61" s="5">
        <v>32.229999999999997</v>
      </c>
      <c r="G61" s="5">
        <v>38.97</v>
      </c>
      <c r="H61" s="5">
        <v>42.87</v>
      </c>
      <c r="I61" s="5">
        <v>89.67</v>
      </c>
      <c r="J61" s="5">
        <v>89.67</v>
      </c>
      <c r="K61" s="5">
        <v>89.67</v>
      </c>
      <c r="L61" s="5">
        <v>89.67</v>
      </c>
      <c r="M61" s="5">
        <v>89.67</v>
      </c>
    </row>
    <row r="62" spans="1:13" s="1" customFormat="1" ht="15" customHeight="1" x14ac:dyDescent="0.35">
      <c r="A62" s="1">
        <v>46</v>
      </c>
      <c r="B62" s="5">
        <v>15.26</v>
      </c>
      <c r="C62" s="5">
        <v>18.649999999999999</v>
      </c>
      <c r="D62" s="5">
        <v>22.16</v>
      </c>
      <c r="E62" s="5">
        <v>26.47</v>
      </c>
      <c r="F62" s="5">
        <v>33.08</v>
      </c>
      <c r="G62" s="5">
        <v>39.39</v>
      </c>
      <c r="H62" s="5">
        <v>44.01</v>
      </c>
      <c r="I62" s="5">
        <v>91.13</v>
      </c>
      <c r="J62" s="5">
        <v>91.13</v>
      </c>
      <c r="K62" s="5">
        <v>91.13</v>
      </c>
      <c r="L62" s="5">
        <v>91.13</v>
      </c>
      <c r="M62" s="5">
        <v>91.13</v>
      </c>
    </row>
    <row r="63" spans="1:13" s="1" customFormat="1" ht="15" customHeight="1" x14ac:dyDescent="0.35">
      <c r="A63" s="1">
        <v>47</v>
      </c>
      <c r="B63" s="5">
        <v>15.27</v>
      </c>
      <c r="C63" s="5">
        <v>19.07</v>
      </c>
      <c r="D63" s="5">
        <v>22.52</v>
      </c>
      <c r="E63" s="5">
        <v>26.66</v>
      </c>
      <c r="F63" s="5">
        <v>33.549999999999997</v>
      </c>
      <c r="G63" s="5">
        <v>40.15</v>
      </c>
      <c r="H63" s="5">
        <v>44.72</v>
      </c>
      <c r="I63" s="5">
        <v>92.62</v>
      </c>
      <c r="J63" s="5">
        <v>92.62</v>
      </c>
      <c r="K63" s="5">
        <v>92.62</v>
      </c>
      <c r="L63" s="5">
        <v>92.62</v>
      </c>
      <c r="M63" s="5">
        <v>92.62</v>
      </c>
    </row>
    <row r="64" spans="1:13" s="1" customFormat="1" ht="15" customHeight="1" x14ac:dyDescent="0.35">
      <c r="A64" s="1">
        <v>48</v>
      </c>
      <c r="B64" s="5">
        <v>15.28</v>
      </c>
      <c r="C64" s="5">
        <v>19.11</v>
      </c>
      <c r="D64" s="5">
        <v>22.78</v>
      </c>
      <c r="E64" s="5">
        <v>27.63</v>
      </c>
      <c r="F64" s="5">
        <v>34.03</v>
      </c>
      <c r="G64" s="5">
        <v>40.82</v>
      </c>
      <c r="H64" s="5">
        <v>45.77</v>
      </c>
      <c r="I64" s="5">
        <v>94.09</v>
      </c>
      <c r="J64" s="5">
        <v>94.09</v>
      </c>
      <c r="K64" s="5">
        <v>94.09</v>
      </c>
      <c r="L64" s="5">
        <v>94.09</v>
      </c>
      <c r="M64" s="5">
        <v>94.09</v>
      </c>
    </row>
    <row r="65" spans="1:13" s="1" customFormat="1" ht="15" customHeight="1" x14ac:dyDescent="0.35">
      <c r="A65" s="1">
        <v>49</v>
      </c>
      <c r="B65" s="5">
        <v>15.28</v>
      </c>
      <c r="C65" s="5">
        <v>19.11</v>
      </c>
      <c r="D65" s="5">
        <v>22.78</v>
      </c>
      <c r="E65" s="5">
        <v>27.64</v>
      </c>
      <c r="F65" s="5">
        <v>34.54</v>
      </c>
      <c r="G65" s="5">
        <v>41.65</v>
      </c>
      <c r="H65" s="5">
        <v>46.04</v>
      </c>
      <c r="I65" s="5">
        <v>95.55</v>
      </c>
      <c r="J65" s="5">
        <v>95.55</v>
      </c>
      <c r="K65" s="5">
        <v>95.55</v>
      </c>
      <c r="L65" s="5">
        <v>95.55</v>
      </c>
      <c r="M65" s="5">
        <v>95.55</v>
      </c>
    </row>
    <row r="66" spans="1:13" s="1" customFormat="1" ht="15" customHeight="1" x14ac:dyDescent="0.35">
      <c r="A66" s="1">
        <v>50</v>
      </c>
      <c r="B66" s="5">
        <v>15.29</v>
      </c>
      <c r="C66" s="5">
        <v>19.12</v>
      </c>
      <c r="D66" s="5">
        <v>22.79</v>
      </c>
      <c r="E66" s="5">
        <v>27.65</v>
      </c>
      <c r="F66" s="5">
        <v>34.58</v>
      </c>
      <c r="G66" s="5">
        <v>41.7</v>
      </c>
      <c r="H66" s="5">
        <v>46.34</v>
      </c>
      <c r="I66" s="5">
        <v>97.03</v>
      </c>
      <c r="J66" s="5">
        <v>97.03</v>
      </c>
      <c r="K66" s="5">
        <v>97.03</v>
      </c>
      <c r="L66" s="5">
        <v>97.03</v>
      </c>
      <c r="M66" s="5">
        <v>97.03</v>
      </c>
    </row>
    <row r="67" spans="1:13" s="1" customFormat="1" ht="15" customHeight="1" x14ac:dyDescent="0.35">
      <c r="A67" s="1">
        <v>51</v>
      </c>
      <c r="B67" s="5">
        <v>15.29</v>
      </c>
      <c r="C67" s="5">
        <v>19.13</v>
      </c>
      <c r="D67" s="5">
        <v>22.8</v>
      </c>
      <c r="E67" s="5">
        <v>27.66</v>
      </c>
      <c r="F67" s="5">
        <v>34.85</v>
      </c>
      <c r="G67" s="5">
        <v>42.02</v>
      </c>
      <c r="H67" s="5">
        <v>47.63</v>
      </c>
      <c r="I67" s="5">
        <v>98.51</v>
      </c>
      <c r="J67" s="5">
        <v>98.51</v>
      </c>
      <c r="K67" s="5">
        <v>98.51</v>
      </c>
      <c r="L67" s="5">
        <v>98.51</v>
      </c>
      <c r="M67" s="5">
        <v>98.51</v>
      </c>
    </row>
    <row r="68" spans="1:13" s="1" customFormat="1" ht="15" customHeight="1" x14ac:dyDescent="0.35">
      <c r="A68" s="1">
        <v>52</v>
      </c>
      <c r="B68" s="5">
        <v>15.3</v>
      </c>
      <c r="C68" s="5">
        <v>19.14</v>
      </c>
      <c r="D68" s="5">
        <v>22.81</v>
      </c>
      <c r="E68" s="5">
        <v>27.67</v>
      </c>
      <c r="F68" s="5">
        <v>34.85</v>
      </c>
      <c r="G68" s="5">
        <v>42.03</v>
      </c>
      <c r="H68" s="5">
        <v>47.64</v>
      </c>
      <c r="I68" s="5">
        <v>99.96</v>
      </c>
      <c r="J68" s="5">
        <v>99.96</v>
      </c>
      <c r="K68" s="5">
        <v>99.96</v>
      </c>
      <c r="L68" s="5">
        <v>99.96</v>
      </c>
      <c r="M68" s="5">
        <v>99.96</v>
      </c>
    </row>
    <row r="69" spans="1:13" s="1" customFormat="1" ht="15" customHeight="1" x14ac:dyDescent="0.35">
      <c r="A69" s="1">
        <v>53</v>
      </c>
      <c r="B69" s="5">
        <v>15.31</v>
      </c>
      <c r="C69" s="5">
        <v>19.14</v>
      </c>
      <c r="D69" s="5">
        <v>22.81</v>
      </c>
      <c r="E69" s="5">
        <v>27.94</v>
      </c>
      <c r="F69" s="5">
        <v>34.86</v>
      </c>
      <c r="G69" s="5">
        <v>42.04</v>
      </c>
      <c r="H69" s="5">
        <v>48.1</v>
      </c>
      <c r="I69" s="5">
        <v>101.45</v>
      </c>
      <c r="J69" s="5">
        <v>101.45</v>
      </c>
      <c r="K69" s="5">
        <v>101.45</v>
      </c>
      <c r="L69" s="5">
        <v>101.45</v>
      </c>
      <c r="M69" s="5">
        <v>101.45</v>
      </c>
    </row>
    <row r="70" spans="1:13" s="1" customFormat="1" ht="15" customHeight="1" x14ac:dyDescent="0.35">
      <c r="A70" s="1">
        <v>54</v>
      </c>
      <c r="B70" s="5">
        <v>15.31</v>
      </c>
      <c r="C70" s="5">
        <v>19.14</v>
      </c>
      <c r="D70" s="5">
        <v>22.86</v>
      </c>
      <c r="E70" s="5">
        <v>28</v>
      </c>
      <c r="F70" s="5">
        <v>34.869999999999997</v>
      </c>
      <c r="G70" s="5">
        <v>42.04</v>
      </c>
      <c r="H70" s="5">
        <v>48.11</v>
      </c>
      <c r="I70" s="5">
        <v>102.89</v>
      </c>
      <c r="J70" s="5">
        <v>102.89</v>
      </c>
      <c r="K70" s="5">
        <v>102.89</v>
      </c>
      <c r="L70" s="5">
        <v>102.89</v>
      </c>
      <c r="M70" s="5">
        <v>102.89</v>
      </c>
    </row>
    <row r="71" spans="1:13" s="1" customFormat="1" ht="15" customHeight="1" x14ac:dyDescent="0.35">
      <c r="A71" s="1">
        <v>55</v>
      </c>
      <c r="B71" s="5">
        <v>15.32</v>
      </c>
      <c r="C71" s="5">
        <v>19.149999999999999</v>
      </c>
      <c r="D71" s="5">
        <v>22.86</v>
      </c>
      <c r="E71" s="5">
        <v>28</v>
      </c>
      <c r="F71" s="5">
        <v>34.869999999999997</v>
      </c>
      <c r="G71" s="5">
        <v>42.04</v>
      </c>
      <c r="H71" s="5">
        <v>48.11</v>
      </c>
      <c r="I71" s="5">
        <v>104.33</v>
      </c>
      <c r="J71" s="5">
        <v>104.33</v>
      </c>
      <c r="K71" s="5">
        <v>104.33</v>
      </c>
      <c r="L71" s="5">
        <v>104.33</v>
      </c>
      <c r="M71" s="5">
        <v>104.33</v>
      </c>
    </row>
    <row r="72" spans="1:13" s="1" customFormat="1" ht="15" customHeight="1" x14ac:dyDescent="0.35">
      <c r="A72" s="1">
        <v>56</v>
      </c>
      <c r="B72" s="5">
        <v>15.32</v>
      </c>
      <c r="C72" s="5">
        <v>19.16</v>
      </c>
      <c r="D72" s="5">
        <v>22.87</v>
      </c>
      <c r="E72" s="5">
        <v>28.01</v>
      </c>
      <c r="F72" s="5">
        <v>34.880000000000003</v>
      </c>
      <c r="G72" s="5">
        <v>42.06</v>
      </c>
      <c r="H72" s="5">
        <v>48.26</v>
      </c>
      <c r="I72" s="5">
        <v>105.83</v>
      </c>
      <c r="J72" s="5">
        <v>105.83</v>
      </c>
      <c r="K72" s="5">
        <v>105.83</v>
      </c>
      <c r="L72" s="5">
        <v>105.83</v>
      </c>
      <c r="M72" s="5">
        <v>105.83</v>
      </c>
    </row>
    <row r="73" spans="1:13" s="1" customFormat="1" ht="15" customHeight="1" x14ac:dyDescent="0.35">
      <c r="A73" s="1">
        <v>57</v>
      </c>
      <c r="B73" s="5">
        <v>15.6</v>
      </c>
      <c r="C73" s="5">
        <v>19.260000000000002</v>
      </c>
      <c r="D73" s="5">
        <v>22.87</v>
      </c>
      <c r="E73" s="5">
        <v>28.85</v>
      </c>
      <c r="F73" s="5">
        <v>34.9</v>
      </c>
      <c r="G73" s="5">
        <v>42.06</v>
      </c>
      <c r="H73" s="5">
        <v>49.17</v>
      </c>
      <c r="I73" s="5">
        <v>107.16</v>
      </c>
      <c r="J73" s="5">
        <v>107.16</v>
      </c>
      <c r="K73" s="5">
        <v>107.16</v>
      </c>
      <c r="L73" s="5">
        <v>107.16</v>
      </c>
      <c r="M73" s="5">
        <v>107.16</v>
      </c>
    </row>
    <row r="74" spans="1:13" s="1" customFormat="1" ht="15" customHeight="1" x14ac:dyDescent="0.35">
      <c r="A74" s="1">
        <v>58</v>
      </c>
      <c r="B74" s="5">
        <v>15.61</v>
      </c>
      <c r="C74" s="5">
        <v>19.27</v>
      </c>
      <c r="D74" s="5">
        <v>22.88</v>
      </c>
      <c r="E74" s="5">
        <v>28.86</v>
      </c>
      <c r="F74" s="5">
        <v>34.9</v>
      </c>
      <c r="G74" s="5">
        <v>42.07</v>
      </c>
      <c r="H74" s="5">
        <v>49.18</v>
      </c>
      <c r="I74" s="5">
        <v>108.23</v>
      </c>
      <c r="J74" s="5">
        <v>108.23</v>
      </c>
      <c r="K74" s="5">
        <v>108.23</v>
      </c>
      <c r="L74" s="5">
        <v>108.23</v>
      </c>
      <c r="M74" s="5">
        <v>108.23</v>
      </c>
    </row>
    <row r="75" spans="1:13" s="1" customFormat="1" ht="15" customHeight="1" x14ac:dyDescent="0.35">
      <c r="A75" s="1">
        <v>59</v>
      </c>
      <c r="B75" s="5">
        <v>15.61</v>
      </c>
      <c r="C75" s="5">
        <v>19.29</v>
      </c>
      <c r="D75" s="5">
        <v>23.04</v>
      </c>
      <c r="E75" s="5">
        <v>28.87</v>
      </c>
      <c r="F75" s="5">
        <v>35.14</v>
      </c>
      <c r="G75" s="5">
        <v>42.07</v>
      </c>
      <c r="H75" s="5">
        <v>50</v>
      </c>
      <c r="I75" s="5">
        <v>109.03</v>
      </c>
      <c r="J75" s="5">
        <v>109.03</v>
      </c>
      <c r="K75" s="5">
        <v>109.03</v>
      </c>
      <c r="L75" s="5">
        <v>109.03</v>
      </c>
      <c r="M75" s="5">
        <v>109.03</v>
      </c>
    </row>
    <row r="76" spans="1:13" s="1" customFormat="1" ht="15" customHeight="1" x14ac:dyDescent="0.35">
      <c r="A76" s="1">
        <v>60</v>
      </c>
      <c r="B76" s="5">
        <v>16.05</v>
      </c>
      <c r="C76" s="5">
        <v>20.03</v>
      </c>
      <c r="D76" s="5">
        <v>23.43</v>
      </c>
      <c r="E76" s="5">
        <v>29.89</v>
      </c>
      <c r="F76" s="5">
        <v>35.799999999999997</v>
      </c>
      <c r="G76" s="5">
        <v>42.22</v>
      </c>
      <c r="H76" s="5">
        <v>50.3</v>
      </c>
      <c r="I76" s="5">
        <v>109.68</v>
      </c>
      <c r="J76" s="5">
        <v>109.68</v>
      </c>
      <c r="K76" s="5">
        <v>109.68</v>
      </c>
      <c r="L76" s="5">
        <v>109.68</v>
      </c>
      <c r="M76" s="5">
        <v>109.68</v>
      </c>
    </row>
    <row r="77" spans="1:13" s="1" customFormat="1" ht="15" customHeight="1" x14ac:dyDescent="0.35">
      <c r="A77" s="1">
        <v>61</v>
      </c>
      <c r="B77" s="5">
        <v>16.059999999999999</v>
      </c>
      <c r="C77" s="5">
        <v>20.079999999999998</v>
      </c>
      <c r="D77" s="5">
        <v>23.66</v>
      </c>
      <c r="E77" s="5">
        <v>29.9</v>
      </c>
      <c r="F77" s="5">
        <v>35.799999999999997</v>
      </c>
      <c r="G77" s="5">
        <v>42.23</v>
      </c>
      <c r="H77" s="5">
        <v>50.31</v>
      </c>
      <c r="I77" s="5">
        <v>110.34</v>
      </c>
      <c r="J77" s="5">
        <v>110.34</v>
      </c>
      <c r="K77" s="5">
        <v>110.34</v>
      </c>
      <c r="L77" s="5">
        <v>110.34</v>
      </c>
      <c r="M77" s="5">
        <v>110.34</v>
      </c>
    </row>
    <row r="78" spans="1:13" s="1" customFormat="1" ht="15" customHeight="1" x14ac:dyDescent="0.35">
      <c r="A78" s="1">
        <v>62</v>
      </c>
      <c r="B78" s="5">
        <v>16.72</v>
      </c>
      <c r="C78" s="5">
        <v>21.51</v>
      </c>
      <c r="D78" s="5">
        <v>24.05</v>
      </c>
      <c r="E78" s="5">
        <v>30.58</v>
      </c>
      <c r="F78" s="5">
        <v>36.35</v>
      </c>
      <c r="G78" s="5">
        <v>42.88</v>
      </c>
      <c r="H78" s="5">
        <v>51.4</v>
      </c>
      <c r="I78" s="5">
        <v>111.04</v>
      </c>
      <c r="J78" s="5">
        <v>111.04</v>
      </c>
      <c r="K78" s="5">
        <v>111.04</v>
      </c>
      <c r="L78" s="5">
        <v>111.04</v>
      </c>
      <c r="M78" s="5">
        <v>111.04</v>
      </c>
    </row>
    <row r="79" spans="1:13" s="1" customFormat="1" ht="15" customHeight="1" x14ac:dyDescent="0.35">
      <c r="A79" s="1">
        <v>63</v>
      </c>
      <c r="B79" s="5">
        <v>16.73</v>
      </c>
      <c r="C79" s="5">
        <v>21.52</v>
      </c>
      <c r="D79" s="5">
        <v>24.28</v>
      </c>
      <c r="E79" s="5">
        <v>30.59</v>
      </c>
      <c r="F79" s="5">
        <v>36.61</v>
      </c>
      <c r="G79" s="5">
        <v>43.23</v>
      </c>
      <c r="H79" s="5">
        <v>51.4</v>
      </c>
      <c r="I79" s="5">
        <v>111.69</v>
      </c>
      <c r="J79" s="5">
        <v>111.69</v>
      </c>
      <c r="K79" s="5">
        <v>111.69</v>
      </c>
      <c r="L79" s="5">
        <v>111.69</v>
      </c>
      <c r="M79" s="5">
        <v>111.69</v>
      </c>
    </row>
    <row r="80" spans="1:13" s="1" customFormat="1" ht="15" customHeight="1" x14ac:dyDescent="0.35">
      <c r="A80" s="1">
        <v>64</v>
      </c>
      <c r="B80" s="5">
        <v>17.170000000000002</v>
      </c>
      <c r="C80" s="5">
        <v>21.53</v>
      </c>
      <c r="D80" s="5">
        <v>24.49</v>
      </c>
      <c r="E80" s="5">
        <v>30.6</v>
      </c>
      <c r="F80" s="5">
        <v>36.86</v>
      </c>
      <c r="G80" s="5">
        <v>43.24</v>
      </c>
      <c r="H80" s="5">
        <v>51.62</v>
      </c>
      <c r="I80" s="5">
        <v>112.34</v>
      </c>
      <c r="J80" s="5">
        <v>112.34</v>
      </c>
      <c r="K80" s="5">
        <v>112.34</v>
      </c>
      <c r="L80" s="5">
        <v>112.34</v>
      </c>
      <c r="M80" s="5">
        <v>112.34</v>
      </c>
    </row>
    <row r="81" spans="1:13" s="1" customFormat="1" ht="15" customHeight="1" x14ac:dyDescent="0.35">
      <c r="A81" s="1">
        <v>65</v>
      </c>
      <c r="B81" s="5">
        <v>17.36</v>
      </c>
      <c r="C81" s="5">
        <v>21.9</v>
      </c>
      <c r="D81" s="5">
        <v>24.5</v>
      </c>
      <c r="E81" s="5">
        <v>30.6</v>
      </c>
      <c r="F81" s="5">
        <v>37.19</v>
      </c>
      <c r="G81" s="5">
        <v>43.34</v>
      </c>
      <c r="H81" s="5">
        <v>51.63</v>
      </c>
      <c r="I81" s="5">
        <v>113.02</v>
      </c>
      <c r="J81" s="5">
        <v>113.02</v>
      </c>
      <c r="K81" s="5">
        <v>113.02</v>
      </c>
      <c r="L81" s="5">
        <v>113.02</v>
      </c>
      <c r="M81" s="5">
        <v>113.02</v>
      </c>
    </row>
    <row r="82" spans="1:13" s="1" customFormat="1" ht="15" customHeight="1" x14ac:dyDescent="0.35">
      <c r="A82" s="1">
        <v>66</v>
      </c>
      <c r="B82" s="5">
        <v>17.440000000000001</v>
      </c>
      <c r="C82" s="5">
        <v>22.32</v>
      </c>
      <c r="D82" s="5">
        <v>24.69</v>
      </c>
      <c r="E82" s="5">
        <v>30.84</v>
      </c>
      <c r="F82" s="5">
        <v>37.21</v>
      </c>
      <c r="G82" s="5">
        <v>43.48</v>
      </c>
      <c r="H82" s="5">
        <v>52.33</v>
      </c>
      <c r="I82" s="5">
        <v>113.85</v>
      </c>
      <c r="J82" s="5">
        <v>113.85</v>
      </c>
      <c r="K82" s="5">
        <v>113.85</v>
      </c>
      <c r="L82" s="5">
        <v>113.85</v>
      </c>
      <c r="M82" s="5">
        <v>113.85</v>
      </c>
    </row>
    <row r="83" spans="1:13" s="1" customFormat="1" ht="15" customHeight="1" x14ac:dyDescent="0.35">
      <c r="A83" s="1">
        <v>67</v>
      </c>
      <c r="B83" s="5">
        <v>17.45</v>
      </c>
      <c r="C83" s="5">
        <v>22.33</v>
      </c>
      <c r="D83" s="5">
        <v>24.7</v>
      </c>
      <c r="E83" s="5">
        <v>30.9</v>
      </c>
      <c r="F83" s="5">
        <v>37.5</v>
      </c>
      <c r="G83" s="5">
        <v>43.69</v>
      </c>
      <c r="H83" s="5">
        <v>52.34</v>
      </c>
      <c r="I83" s="5">
        <v>114.15</v>
      </c>
      <c r="J83" s="5">
        <v>114.15</v>
      </c>
      <c r="K83" s="5">
        <v>114.15</v>
      </c>
      <c r="L83" s="5">
        <v>114.15</v>
      </c>
      <c r="M83" s="5">
        <v>114.15</v>
      </c>
    </row>
    <row r="84" spans="1:13" s="1" customFormat="1" ht="15" customHeight="1" x14ac:dyDescent="0.35">
      <c r="A84" s="1">
        <v>68</v>
      </c>
      <c r="B84" s="5">
        <v>17.64</v>
      </c>
      <c r="C84" s="5">
        <v>22.74</v>
      </c>
      <c r="D84" s="5">
        <v>26.19</v>
      </c>
      <c r="E84" s="5">
        <v>31.6</v>
      </c>
      <c r="F84" s="5">
        <v>38.049999999999997</v>
      </c>
      <c r="G84" s="5">
        <v>44.35</v>
      </c>
      <c r="H84" s="5">
        <v>52.34</v>
      </c>
      <c r="I84" s="5">
        <v>114.39</v>
      </c>
      <c r="J84" s="5">
        <v>114.39</v>
      </c>
      <c r="K84" s="5">
        <v>114.39</v>
      </c>
      <c r="L84" s="5">
        <v>114.39</v>
      </c>
      <c r="M84" s="5">
        <v>114.39</v>
      </c>
    </row>
    <row r="85" spans="1:13" s="1" customFormat="1" ht="15" customHeight="1" x14ac:dyDescent="0.35">
      <c r="A85" s="1">
        <v>69</v>
      </c>
      <c r="B85" s="5">
        <v>18.010000000000002</v>
      </c>
      <c r="C85" s="5">
        <v>22.96</v>
      </c>
      <c r="D85" s="5">
        <v>26.45</v>
      </c>
      <c r="E85" s="5">
        <v>31.82</v>
      </c>
      <c r="F85" s="5">
        <v>38.619999999999997</v>
      </c>
      <c r="G85" s="5">
        <v>44.35</v>
      </c>
      <c r="H85" s="5">
        <v>53.06</v>
      </c>
      <c r="I85" s="5">
        <v>114.71</v>
      </c>
      <c r="J85" s="5">
        <v>114.71</v>
      </c>
      <c r="K85" s="5">
        <v>114.71</v>
      </c>
      <c r="L85" s="5">
        <v>114.71</v>
      </c>
      <c r="M85" s="5">
        <v>114.71</v>
      </c>
    </row>
    <row r="86" spans="1:13" s="1" customFormat="1" ht="15" customHeight="1" x14ac:dyDescent="0.35">
      <c r="A86" s="1">
        <v>70</v>
      </c>
      <c r="B86" s="5">
        <v>18.02</v>
      </c>
      <c r="C86" s="5">
        <v>23.28</v>
      </c>
      <c r="D86" s="5">
        <v>26.82</v>
      </c>
      <c r="E86" s="5">
        <v>33.11</v>
      </c>
      <c r="F86" s="5">
        <v>39.020000000000003</v>
      </c>
      <c r="G86" s="5">
        <v>44.36</v>
      </c>
      <c r="H86" s="5">
        <v>53.07</v>
      </c>
      <c r="I86" s="5">
        <v>114.98</v>
      </c>
      <c r="J86" s="5">
        <v>114.98</v>
      </c>
      <c r="K86" s="5">
        <v>114.98</v>
      </c>
      <c r="L86" s="5">
        <v>114.98</v>
      </c>
      <c r="M86" s="5">
        <v>114.98</v>
      </c>
    </row>
    <row r="87" spans="1:13" s="1" customFormat="1" ht="15" customHeight="1" x14ac:dyDescent="0.35">
      <c r="A87" s="1">
        <v>71</v>
      </c>
      <c r="B87" s="5">
        <v>20.65</v>
      </c>
      <c r="C87" s="5">
        <v>26.73</v>
      </c>
      <c r="D87" s="5">
        <v>30.98</v>
      </c>
      <c r="E87" s="5">
        <v>37.97</v>
      </c>
      <c r="F87" s="5">
        <v>44.95</v>
      </c>
      <c r="G87" s="5">
        <v>51.03</v>
      </c>
      <c r="H87" s="5">
        <v>61.05</v>
      </c>
      <c r="I87" s="5">
        <v>160.97999999999999</v>
      </c>
      <c r="J87" s="5">
        <v>160.97999999999999</v>
      </c>
      <c r="K87" s="5">
        <v>160.97999999999999</v>
      </c>
      <c r="L87" s="5">
        <v>160.97999999999999</v>
      </c>
      <c r="M87" s="5">
        <v>160.97999999999999</v>
      </c>
    </row>
    <row r="88" spans="1:13" s="1" customFormat="1" ht="15" customHeight="1" x14ac:dyDescent="0.3">
      <c r="A88" s="1" t="s">
        <v>35</v>
      </c>
    </row>
  </sheetData>
  <mergeCells count="3">
    <mergeCell ref="A1:G1"/>
    <mergeCell ref="H1:K1"/>
    <mergeCell ref="B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Home</vt:lpstr>
      <vt:lpstr>Ground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Travis Knight</dc:creator>
  <cp:lastModifiedBy>Niklāvs  Felsbergs</cp:lastModifiedBy>
  <dcterms:created xsi:type="dcterms:W3CDTF">2026-01-14T19:14:38Z</dcterms:created>
  <dcterms:modified xsi:type="dcterms:W3CDTF">2026-02-12T15:57:59Z</dcterms:modified>
</cp:coreProperties>
</file>