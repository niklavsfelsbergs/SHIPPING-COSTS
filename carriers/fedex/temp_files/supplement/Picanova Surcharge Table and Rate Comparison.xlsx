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yfedex-my.sharepoint.com/personal/travis_knight_fedex_com/Documents/Desktop/"/>
    </mc:Choice>
  </mc:AlternateContent>
  <xr:revisionPtr revIDLastSave="0" documentId="8_{ECBA0EDD-CA55-47B4-B88A-003965AD7D99}" xr6:coauthVersionLast="47" xr6:coauthVersionMax="47" xr10:uidLastSave="{00000000-0000-0000-0000-000000000000}"/>
  <bookViews>
    <workbookView xWindow="-120" yWindow="-120" windowWidth="29040" windowHeight="15720" xr2:uid="{C0917A57-F3E7-4E7D-A312-ACB53CF4162E}"/>
  </bookViews>
  <sheets>
    <sheet name="Surcharge Table" sheetId="1" r:id="rId1"/>
    <sheet name="Discount Comparis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1" l="1"/>
  <c r="K8" i="1"/>
  <c r="K3" i="1"/>
  <c r="K4" i="1"/>
  <c r="K2" i="1"/>
  <c r="E20" i="1"/>
  <c r="E12" i="1"/>
  <c r="E13" i="1"/>
  <c r="E14" i="1"/>
  <c r="E15" i="1"/>
  <c r="E16" i="1"/>
  <c r="E8" i="1"/>
  <c r="E9" i="1"/>
  <c r="E10" i="1"/>
  <c r="E11" i="1"/>
  <c r="E7" i="1"/>
  <c r="E3" i="1"/>
  <c r="E2" i="1"/>
  <c r="N16" i="2"/>
  <c r="N17" i="2"/>
  <c r="N18" i="2"/>
  <c r="N15" i="2"/>
  <c r="F16" i="2"/>
  <c r="F17" i="2"/>
  <c r="F18" i="2"/>
  <c r="F19" i="2"/>
  <c r="F15" i="2"/>
</calcChain>
</file>

<file path=xl/sharedStrings.xml><?xml version="1.0" encoding="utf-8"?>
<sst xmlns="http://schemas.openxmlformats.org/spreadsheetml/2006/main" count="137" uniqueCount="83">
  <si>
    <t>Domestic Express Surcharges</t>
  </si>
  <si>
    <t>Proposed Discount</t>
  </si>
  <si>
    <t>Current Discount</t>
  </si>
  <si>
    <t>Saturday Expedited Processing Fee</t>
  </si>
  <si>
    <t>Saturday Delivery</t>
  </si>
  <si>
    <t>Demand-Additional Handling Surcharge</t>
  </si>
  <si>
    <t>Demand Surcharge</t>
  </si>
  <si>
    <t>Email Return Label</t>
  </si>
  <si>
    <t>Print Return Label</t>
  </si>
  <si>
    <t>Additional Handling Surcharge-Packaging</t>
  </si>
  <si>
    <t>Additional Handling Surcharge-Weight</t>
  </si>
  <si>
    <t>Adult Signature</t>
  </si>
  <si>
    <t>Direct Signature</t>
  </si>
  <si>
    <t>Indirect Signature</t>
  </si>
  <si>
    <t>Fuel Surcharge</t>
  </si>
  <si>
    <t>Domestic Oversize Surcharge</t>
  </si>
  <si>
    <t>Domestic Residential Delivery Non-Freight</t>
  </si>
  <si>
    <t>Delivery Area Surcharge-Residential Standard</t>
  </si>
  <si>
    <t xml:space="preserve">Delivery Area Surcharge-Residential Extended </t>
  </si>
  <si>
    <t>Delivery Area Surcharge-Commercial Standard</t>
  </si>
  <si>
    <t xml:space="preserve">Delivery Area Surcharge-Commercial Extended </t>
  </si>
  <si>
    <t>DAS-Remote Commercial</t>
  </si>
  <si>
    <t>DAS Remote Residential</t>
  </si>
  <si>
    <t>Domestic Additional Handling Surcharge-Dimensions</t>
  </si>
  <si>
    <t>Domestic Additional Handling Surcharge-Weight</t>
  </si>
  <si>
    <t>Domestic Additional Handling Surcharge-Packaging</t>
  </si>
  <si>
    <t>Domestic Email Return Label</t>
  </si>
  <si>
    <t>International Residential Delivery</t>
  </si>
  <si>
    <t>Duty and Tax - Advancement Fee</t>
  </si>
  <si>
    <t>Charge for Oversize Packages</t>
  </si>
  <si>
    <t>Demand-Oversize Charge</t>
  </si>
  <si>
    <t>Residential Surcharge-Home Delivery</t>
  </si>
  <si>
    <t>Delivery Area Surcharge-Residential Standard (Home Delivery)</t>
  </si>
  <si>
    <t>Delivery Area Surcharge-Residential Extended (Home Delivery)</t>
  </si>
  <si>
    <t>Delivery Area Surcharge-Residential Standard (Commercial)</t>
  </si>
  <si>
    <t>Delivery Area Surcharge-Residential Extended (Commercial)</t>
  </si>
  <si>
    <t>DAS-Remote Residential (Home Delivery)</t>
  </si>
  <si>
    <t>DAS-Remote Commercial (Ground)</t>
  </si>
  <si>
    <t>Address Correction</t>
  </si>
  <si>
    <t>Delivery and Returns-Ground Economy</t>
  </si>
  <si>
    <t>Non-machinable Option-Ground Economy</t>
  </si>
  <si>
    <t>Delivery Area Surcharge-Standard (Ground Economy)</t>
  </si>
  <si>
    <t>Delivery Area Surcharge-Extended (Ground Economy)</t>
  </si>
  <si>
    <t>Additional Handling Surcharge-Dimensions</t>
  </si>
  <si>
    <t>to</t>
  </si>
  <si>
    <t xml:space="preserve">to </t>
  </si>
  <si>
    <t>Plus</t>
  </si>
  <si>
    <t>Earned Discount Tiers</t>
  </si>
  <si>
    <t>Ground &amp; Home Delivery</t>
  </si>
  <si>
    <t>Ground Economy (Ounce)</t>
  </si>
  <si>
    <t>Ground Economy (Pound)</t>
  </si>
  <si>
    <t>Express Domestic</t>
  </si>
  <si>
    <t>1 Lbs.</t>
  </si>
  <si>
    <t>5 Lbs.</t>
  </si>
  <si>
    <t>10 Lbs.</t>
  </si>
  <si>
    <t>31 Lbs.</t>
  </si>
  <si>
    <t>150 Lbs.+</t>
  </si>
  <si>
    <t>6 Lbs.</t>
  </si>
  <si>
    <t>11 Lbs.</t>
  </si>
  <si>
    <t>21 Lbs.</t>
  </si>
  <si>
    <t>Home Delivery Ground Weight Break</t>
  </si>
  <si>
    <t>Base Discount</t>
  </si>
  <si>
    <t>Earned Discount</t>
  </si>
  <si>
    <t>Total Discount</t>
  </si>
  <si>
    <t>20 Lbs.</t>
  </si>
  <si>
    <t>30 Lbs.</t>
  </si>
  <si>
    <t xml:space="preserve">21 Lbs. </t>
  </si>
  <si>
    <t>25 Lbs.</t>
  </si>
  <si>
    <t>26 Lbs.</t>
  </si>
  <si>
    <t xml:space="preserve">150 Lbs.+ </t>
  </si>
  <si>
    <t>Picanova Discount Comparison (Current vs. Proposed)</t>
  </si>
  <si>
    <t>Current Discount ED Tiers</t>
  </si>
  <si>
    <t>Proposed Discount ED Tiers</t>
  </si>
  <si>
    <t>Current Base Discount Home Delivery Ground</t>
  </si>
  <si>
    <t xml:space="preserve">Proposed Base Discount Home Delivery Ground </t>
  </si>
  <si>
    <t>Ground Services Surcharges</t>
  </si>
  <si>
    <t>Varies</t>
  </si>
  <si>
    <t>2026 Published Rate</t>
  </si>
  <si>
    <t>2026 Picanova Rate</t>
  </si>
  <si>
    <t>Additional Handling Surcharges</t>
  </si>
  <si>
    <t xml:space="preserve">Additional Handling Surcharges is priced based on shipping Zone. For the additional handling Surcharge costing, a rate for ZONE 3-4 was utilized. Please refer to page# 127 of the 2026 FEdEx Service Guide.   </t>
  </si>
  <si>
    <t>Demand Surcharges</t>
  </si>
  <si>
    <r>
      <t>During specific times of the year, the demand surcharges will apply to packages meeting the criteria and characteristics of the specific Demand surcharge. Peak surcharges are now replaced by the demand surcharges. You can find additional informaton on Demand Surcharges by visiting:</t>
    </r>
    <r>
      <rPr>
        <u/>
        <sz val="11"/>
        <color rgb="FF0070C0"/>
        <rFont val="Aptos Narrow"/>
        <family val="2"/>
        <scheme val="minor"/>
      </rPr>
      <t xml:space="preserve"> Fedex.com/en-us/shipping/rate-changes/additional-shiping-fees.html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</si>
</sst>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
  </numFmts>
  <fonts count="6" x14ac:knownFonts="1">
    <font>
      <sz val="11"/>
      <color theme="1"/>
      <name val="Aptos Narrow"/>
      <family val="2"/>
      <scheme val="minor"/>
    </font>
    <font>
      <b/>
      <sz val="11"/>
      <color theme="1"/>
      <name val="Aptos Narrow"/>
      <family val="2"/>
      <scheme val="minor"/>
    </font>
    <font>
      <b/>
      <sz val="11"/>
      <color rgb="FF000000"/>
      <name val="Aptos Narrow"/>
      <family val="2"/>
    </font>
    <font>
      <sz val="11"/>
      <color theme="1"/>
      <name val="Aptos Narrow"/>
      <family val="2"/>
    </font>
    <font>
      <b/>
      <sz val="11"/>
      <color theme="1"/>
      <name val="Aptos Narrow"/>
      <family val="2"/>
    </font>
    <font>
      <u/>
      <sz val="11"/>
      <color rgb="FF0070C0"/>
      <name val="Aptos Narrow"/>
      <family val="2"/>
      <scheme val="minor"/>
    </font>
  </fonts>
  <fills count="7">
    <fill>
      <patternFill patternType="none"/>
    </fill>
    <fill>
      <patternFill patternType="gray125"/>
    </fill>
    <fill>
      <patternFill patternType="solid">
        <fgColor rgb="FFDAE9F8"/>
        <bgColor rgb="FF000000"/>
      </patternFill>
    </fill>
    <fill>
      <patternFill patternType="solid">
        <fgColor theme="3" tint="0.89999084444715716"/>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2" fillId="2" borderId="1" xfId="0" applyFont="1" applyFill="1" applyBorder="1" applyAlignment="1">
      <alignment horizontal="center" vertical="center" wrapText="1"/>
    </xf>
    <xf numFmtId="9" fontId="3" fillId="0" borderId="1" xfId="0" applyNumberFormat="1" applyFont="1" applyFill="1" applyBorder="1"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8" fontId="0" fillId="0" borderId="1" xfId="0" applyNumberFormat="1" applyBorder="1"/>
    <xf numFmtId="9" fontId="0" fillId="0" borderId="1" xfId="0" applyNumberFormat="1" applyBorder="1" applyAlignment="1">
      <alignment horizontal="center"/>
    </xf>
    <xf numFmtId="164" fontId="0" fillId="0" borderId="1" xfId="0" applyNumberFormat="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8" fontId="0" fillId="0" borderId="1" xfId="0" applyNumberFormat="1" applyBorder="1" applyAlignment="1">
      <alignment horizontal="left"/>
    </xf>
    <xf numFmtId="0" fontId="0" fillId="0" borderId="1" xfId="0" applyBorder="1" applyAlignment="1">
      <alignment horizontal="left"/>
    </xf>
    <xf numFmtId="8" fontId="0" fillId="3" borderId="1" xfId="0" applyNumberFormat="1" applyFill="1" applyBorder="1"/>
    <xf numFmtId="8" fontId="0" fillId="3" borderId="1" xfId="0" applyNumberFormat="1" applyFill="1" applyBorder="1" applyAlignment="1">
      <alignment horizontal="left"/>
    </xf>
    <xf numFmtId="9" fontId="0" fillId="3" borderId="1" xfId="0" applyNumberFormat="1" applyFill="1" applyBorder="1" applyAlignment="1">
      <alignment horizontal="center"/>
    </xf>
    <xf numFmtId="164" fontId="0" fillId="3" borderId="1" xfId="0" applyNumberFormat="1" applyFill="1" applyBorder="1" applyAlignment="1">
      <alignment horizontal="center"/>
    </xf>
    <xf numFmtId="0" fontId="0" fillId="0" borderId="1" xfId="0" applyBorder="1" applyAlignment="1">
      <alignment horizontal="center"/>
    </xf>
    <xf numFmtId="1" fontId="0" fillId="0" borderId="1" xfId="0" applyNumberFormat="1" applyFill="1" applyBorder="1" applyAlignment="1">
      <alignment horizontal="right"/>
    </xf>
    <xf numFmtId="1" fontId="0" fillId="0" borderId="1" xfId="0" applyNumberFormat="1" applyBorder="1"/>
    <xf numFmtId="1" fontId="0" fillId="0" borderId="1" xfId="0" applyNumberFormat="1" applyBorder="1" applyAlignment="1">
      <alignment horizontal="right"/>
    </xf>
    <xf numFmtId="0" fontId="1" fillId="3" borderId="1" xfId="0" applyFont="1" applyFill="1" applyBorder="1" applyAlignment="1">
      <alignment vertical="center" wrapText="1"/>
    </xf>
    <xf numFmtId="0" fontId="0" fillId="3" borderId="1" xfId="0" applyFill="1" applyBorder="1" applyAlignment="1">
      <alignment horizontal="center"/>
    </xf>
    <xf numFmtId="1" fontId="0" fillId="0" borderId="1" xfId="0" applyNumberFormat="1" applyBorder="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Fill="1" applyBorder="1" applyAlignment="1">
      <alignment horizontal="center"/>
    </xf>
    <xf numFmtId="8" fontId="0" fillId="0" borderId="1" xfId="0" applyNumberFormat="1" applyBorder="1" applyAlignment="1">
      <alignment vertical="center"/>
    </xf>
    <xf numFmtId="0" fontId="0" fillId="0" borderId="1" xfId="0" applyBorder="1" applyAlignment="1">
      <alignment vertical="center"/>
    </xf>
    <xf numFmtId="10" fontId="0" fillId="0" borderId="1" xfId="0" applyNumberFormat="1" applyBorder="1" applyAlignment="1">
      <alignment horizontal="center"/>
    </xf>
    <xf numFmtId="9" fontId="0" fillId="0" borderId="1" xfId="0" applyNumberFormat="1" applyBorder="1" applyAlignment="1">
      <alignment horizontal="center" vertical="center"/>
    </xf>
    <xf numFmtId="8" fontId="0" fillId="4" borderId="1" xfId="0" applyNumberFormat="1" applyFill="1" applyBorder="1"/>
    <xf numFmtId="0" fontId="0" fillId="4" borderId="1" xfId="0" applyFill="1" applyBorder="1" applyAlignment="1">
      <alignment horizontal="center"/>
    </xf>
    <xf numFmtId="8" fontId="0" fillId="4" borderId="1" xfId="0" applyNumberFormat="1" applyFill="1" applyBorder="1" applyAlignment="1">
      <alignment horizontal="left"/>
    </xf>
    <xf numFmtId="9" fontId="0" fillId="4" borderId="1" xfId="0" applyNumberFormat="1" applyFill="1" applyBorder="1" applyAlignment="1">
      <alignment horizontal="center"/>
    </xf>
    <xf numFmtId="164" fontId="0" fillId="4" borderId="1" xfId="0" applyNumberFormat="1" applyFill="1" applyBorder="1" applyAlignment="1">
      <alignment horizontal="center"/>
    </xf>
    <xf numFmtId="1" fontId="0" fillId="0" borderId="0" xfId="0" applyNumberFormat="1" applyBorder="1" applyAlignment="1">
      <alignment horizontal="right"/>
    </xf>
    <xf numFmtId="1" fontId="0" fillId="0" borderId="0" xfId="0" applyNumberFormat="1" applyBorder="1" applyAlignment="1">
      <alignment horizontal="center"/>
    </xf>
    <xf numFmtId="1" fontId="0" fillId="0" borderId="0" xfId="0" applyNumberFormat="1" applyBorder="1"/>
    <xf numFmtId="9" fontId="0" fillId="0" borderId="0" xfId="0" applyNumberFormat="1" applyBorder="1" applyAlignment="1">
      <alignment horizontal="center"/>
    </xf>
    <xf numFmtId="0" fontId="1" fillId="5" borderId="1"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0" fillId="4" borderId="0" xfId="0" applyFill="1"/>
    <xf numFmtId="0" fontId="1" fillId="6" borderId="1" xfId="0" applyFont="1" applyFill="1" applyBorder="1" applyAlignment="1">
      <alignment horizontal="center" vertical="center" wrapText="1"/>
    </xf>
    <xf numFmtId="8" fontId="0" fillId="0" borderId="0" xfId="0" applyNumberFormat="1" applyBorder="1" applyAlignment="1">
      <alignment vertical="center"/>
    </xf>
    <xf numFmtId="0" fontId="0" fillId="0" borderId="0" xfId="0" applyBorder="1" applyAlignment="1">
      <alignment vertical="center"/>
    </xf>
    <xf numFmtId="9" fontId="0" fillId="0" borderId="0" xfId="0" applyNumberFormat="1" applyBorder="1" applyAlignment="1">
      <alignment horizontal="center" vertical="center"/>
    </xf>
    <xf numFmtId="0" fontId="1" fillId="6" borderId="1" xfId="0" applyFont="1" applyFill="1" applyBorder="1" applyAlignment="1">
      <alignment horizontal="center" wrapText="1"/>
    </xf>
    <xf numFmtId="0" fontId="3" fillId="0" borderId="0" xfId="0" applyFont="1" applyFill="1" applyBorder="1"/>
    <xf numFmtId="1" fontId="3" fillId="0" borderId="0" xfId="0" applyNumberFormat="1" applyFont="1" applyFill="1" applyBorder="1" applyAlignment="1">
      <alignment horizontal="center"/>
    </xf>
    <xf numFmtId="0" fontId="0" fillId="0" borderId="0" xfId="0" applyBorder="1"/>
    <xf numFmtId="0" fontId="3" fillId="0" borderId="1" xfId="0" applyFont="1" applyFill="1" applyBorder="1" applyAlignment="1">
      <alignment horizontal="left"/>
    </xf>
    <xf numFmtId="0" fontId="4" fillId="3" borderId="3" xfId="0" applyNumberFormat="1" applyFont="1" applyFill="1" applyBorder="1" applyAlignment="1">
      <alignment vertical="center" wrapText="1"/>
    </xf>
    <xf numFmtId="0" fontId="1" fillId="3" borderId="4" xfId="0" applyNumberFormat="1" applyFont="1" applyFill="1" applyBorder="1" applyAlignment="1">
      <alignment vertical="center" wrapText="1"/>
    </xf>
    <xf numFmtId="0" fontId="1" fillId="3" borderId="5" xfId="0" applyNumberFormat="1" applyFont="1" applyFill="1" applyBorder="1" applyAlignment="1">
      <alignment vertical="center" wrapText="1"/>
    </xf>
    <xf numFmtId="0" fontId="1" fillId="3" borderId="6" xfId="0" applyNumberFormat="1" applyFont="1" applyFill="1" applyBorder="1" applyAlignment="1">
      <alignment vertical="center" wrapText="1"/>
    </xf>
    <xf numFmtId="0" fontId="1" fillId="3" borderId="0" xfId="0" applyNumberFormat="1" applyFont="1" applyFill="1" applyBorder="1" applyAlignment="1">
      <alignment vertical="center" wrapText="1"/>
    </xf>
    <xf numFmtId="0" fontId="1" fillId="3" borderId="7" xfId="0" applyNumberFormat="1" applyFont="1" applyFill="1" applyBorder="1" applyAlignment="1">
      <alignment vertical="center" wrapText="1"/>
    </xf>
    <xf numFmtId="0" fontId="1" fillId="3" borderId="8" xfId="0" applyNumberFormat="1" applyFont="1" applyFill="1" applyBorder="1" applyAlignment="1">
      <alignment vertical="center" wrapText="1"/>
    </xf>
    <xf numFmtId="0" fontId="1" fillId="3" borderId="2" xfId="0" applyNumberFormat="1" applyFont="1" applyFill="1" applyBorder="1" applyAlignment="1">
      <alignment vertical="center" wrapText="1"/>
    </xf>
    <xf numFmtId="0" fontId="1" fillId="3" borderId="9" xfId="0" applyNumberFormat="1" applyFont="1" applyFill="1" applyBorder="1" applyAlignment="1">
      <alignment vertical="center" wrapText="1"/>
    </xf>
    <xf numFmtId="0" fontId="4" fillId="6" borderId="10"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0" fillId="3" borderId="4" xfId="0" applyFill="1" applyBorder="1" applyAlignment="1">
      <alignment vertical="center" wrapText="1"/>
    </xf>
    <xf numFmtId="0" fontId="0" fillId="3" borderId="3" xfId="0" applyFill="1" applyBorder="1" applyAlignment="1">
      <alignment vertical="center" wrapText="1"/>
    </xf>
    <xf numFmtId="0" fontId="0" fillId="3" borderId="5" xfId="0" applyFill="1" applyBorder="1" applyAlignment="1">
      <alignment vertical="center" wrapText="1"/>
    </xf>
    <xf numFmtId="0" fontId="0" fillId="3" borderId="6" xfId="0" applyFill="1" applyBorder="1" applyAlignment="1">
      <alignment vertical="center" wrapText="1"/>
    </xf>
    <xf numFmtId="0" fontId="0" fillId="3" borderId="0" xfId="0" applyFill="1" applyBorder="1" applyAlignment="1">
      <alignment vertical="center" wrapText="1"/>
    </xf>
    <xf numFmtId="0" fontId="0" fillId="3" borderId="7" xfId="0" applyFill="1" applyBorder="1" applyAlignment="1">
      <alignment vertical="center" wrapText="1"/>
    </xf>
    <xf numFmtId="0" fontId="0" fillId="3" borderId="8" xfId="0" applyFill="1" applyBorder="1" applyAlignment="1">
      <alignment vertical="center" wrapText="1"/>
    </xf>
    <xf numFmtId="0" fontId="0" fillId="3" borderId="2" xfId="0" applyFill="1" applyBorder="1" applyAlignment="1">
      <alignment vertical="center" wrapText="1"/>
    </xf>
    <xf numFmtId="0" fontId="0" fillId="3" borderId="9"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BD96-1C85-411B-908F-E5883B122DCB}">
  <dimension ref="A1:K36"/>
  <sheetViews>
    <sheetView tabSelected="1" workbookViewId="0">
      <selection activeCell="M20" sqref="M20"/>
    </sheetView>
  </sheetViews>
  <sheetFormatPr defaultRowHeight="15" x14ac:dyDescent="0.25"/>
  <cols>
    <col min="1" max="1" width="50.42578125" customWidth="1"/>
    <col min="2" max="3" width="12.28515625" style="5" customWidth="1"/>
    <col min="4" max="4" width="13.85546875" customWidth="1"/>
    <col min="5" max="5" width="14.85546875" customWidth="1"/>
    <col min="7" max="7" width="56.140625" customWidth="1"/>
    <col min="8" max="8" width="12.7109375" style="5" customWidth="1"/>
    <col min="9" max="9" width="13" style="5" customWidth="1"/>
    <col min="10" max="10" width="11.140625" customWidth="1"/>
    <col min="11" max="11" width="10.28515625" customWidth="1"/>
  </cols>
  <sheetData>
    <row r="1" spans="1:11" s="5" customFormat="1" ht="45" x14ac:dyDescent="0.25">
      <c r="A1" s="1" t="s">
        <v>0</v>
      </c>
      <c r="B1" s="1" t="s">
        <v>1</v>
      </c>
      <c r="C1" s="1" t="s">
        <v>2</v>
      </c>
      <c r="D1" s="1" t="s">
        <v>77</v>
      </c>
      <c r="E1" s="1" t="s">
        <v>78</v>
      </c>
      <c r="G1" s="1" t="s">
        <v>75</v>
      </c>
      <c r="H1" s="1" t="s">
        <v>1</v>
      </c>
      <c r="I1" s="1" t="s">
        <v>2</v>
      </c>
      <c r="J1" s="1" t="s">
        <v>77</v>
      </c>
      <c r="K1" s="1" t="s">
        <v>78</v>
      </c>
    </row>
    <row r="2" spans="1:11" x14ac:dyDescent="0.25">
      <c r="A2" s="51" t="s">
        <v>3</v>
      </c>
      <c r="B2" s="2">
        <v>0.5</v>
      </c>
      <c r="C2" s="2">
        <v>0.5</v>
      </c>
      <c r="D2" s="11">
        <v>16</v>
      </c>
      <c r="E2" s="11">
        <f>D2/2</f>
        <v>8</v>
      </c>
      <c r="G2" s="51" t="s">
        <v>11</v>
      </c>
      <c r="H2" s="2">
        <v>0.5</v>
      </c>
      <c r="I2" s="2">
        <v>0.5</v>
      </c>
      <c r="J2" s="11">
        <v>10</v>
      </c>
      <c r="K2" s="11">
        <f>J2/2</f>
        <v>5</v>
      </c>
    </row>
    <row r="3" spans="1:11" x14ac:dyDescent="0.25">
      <c r="A3" s="51" t="s">
        <v>4</v>
      </c>
      <c r="B3" s="2">
        <v>0.5</v>
      </c>
      <c r="C3" s="2">
        <v>0.5</v>
      </c>
      <c r="D3" s="11">
        <v>16</v>
      </c>
      <c r="E3" s="11">
        <f>D3/2</f>
        <v>8</v>
      </c>
      <c r="G3" s="51" t="s">
        <v>12</v>
      </c>
      <c r="H3" s="2">
        <v>0.5</v>
      </c>
      <c r="I3" s="2">
        <v>0.5</v>
      </c>
      <c r="J3" s="11">
        <v>7.6</v>
      </c>
      <c r="K3" s="11">
        <f t="shared" ref="K3:K4" si="0">J3/2</f>
        <v>3.8</v>
      </c>
    </row>
    <row r="4" spans="1:11" x14ac:dyDescent="0.25">
      <c r="A4" s="51" t="s">
        <v>5</v>
      </c>
      <c r="B4" s="2">
        <v>0.35</v>
      </c>
      <c r="C4" s="2">
        <v>0.35</v>
      </c>
      <c r="D4" s="12" t="s">
        <v>76</v>
      </c>
      <c r="E4" s="12" t="s">
        <v>76</v>
      </c>
      <c r="G4" s="51" t="s">
        <v>13</v>
      </c>
      <c r="H4" s="2">
        <v>0.5</v>
      </c>
      <c r="I4" s="2">
        <v>0.5</v>
      </c>
      <c r="J4" s="11">
        <v>7.6</v>
      </c>
      <c r="K4" s="11">
        <f t="shared" si="0"/>
        <v>3.8</v>
      </c>
    </row>
    <row r="5" spans="1:11" x14ac:dyDescent="0.25">
      <c r="A5" s="51" t="s">
        <v>30</v>
      </c>
      <c r="B5" s="2">
        <v>0.35</v>
      </c>
      <c r="C5" s="2">
        <v>0.35</v>
      </c>
      <c r="D5" s="11">
        <v>275</v>
      </c>
      <c r="E5" s="12">
        <v>178.75</v>
      </c>
      <c r="G5" s="51" t="s">
        <v>7</v>
      </c>
      <c r="H5" s="2">
        <v>1</v>
      </c>
      <c r="I5" s="2">
        <v>1</v>
      </c>
      <c r="J5" s="11">
        <v>1.05</v>
      </c>
      <c r="K5" s="11">
        <v>0</v>
      </c>
    </row>
    <row r="6" spans="1:11" x14ac:dyDescent="0.25">
      <c r="A6" s="51" t="s">
        <v>15</v>
      </c>
      <c r="B6" s="2">
        <v>0.45</v>
      </c>
      <c r="C6" s="2">
        <v>0.45</v>
      </c>
      <c r="D6" s="11">
        <v>275</v>
      </c>
      <c r="E6" s="12">
        <v>178.75</v>
      </c>
      <c r="G6" s="51" t="s">
        <v>8</v>
      </c>
      <c r="H6" s="2">
        <v>1</v>
      </c>
      <c r="I6" s="2">
        <v>1</v>
      </c>
      <c r="J6" s="11">
        <v>1.05</v>
      </c>
      <c r="K6" s="11">
        <v>0</v>
      </c>
    </row>
    <row r="7" spans="1:11" x14ac:dyDescent="0.25">
      <c r="A7" s="51" t="s">
        <v>16</v>
      </c>
      <c r="B7" s="2">
        <v>0.5</v>
      </c>
      <c r="C7" s="2">
        <v>0.5</v>
      </c>
      <c r="D7" s="11">
        <v>6.45</v>
      </c>
      <c r="E7" s="11">
        <f>D7/2</f>
        <v>3.2250000000000001</v>
      </c>
      <c r="G7" s="51" t="s">
        <v>43</v>
      </c>
      <c r="H7" s="2">
        <v>0.75</v>
      </c>
      <c r="I7" s="2">
        <v>0.5</v>
      </c>
      <c r="J7" s="11">
        <v>32.75</v>
      </c>
      <c r="K7" s="12">
        <v>8.19</v>
      </c>
    </row>
    <row r="8" spans="1:11" x14ac:dyDescent="0.25">
      <c r="A8" s="51" t="s">
        <v>17</v>
      </c>
      <c r="B8" s="2">
        <v>0.5</v>
      </c>
      <c r="C8" s="2">
        <v>0.5</v>
      </c>
      <c r="D8" s="11">
        <v>6.6</v>
      </c>
      <c r="E8" s="11">
        <f t="shared" ref="E8:E16" si="1">D8/2</f>
        <v>3.3</v>
      </c>
      <c r="G8" s="51" t="s">
        <v>10</v>
      </c>
      <c r="H8" s="2">
        <v>0.5</v>
      </c>
      <c r="I8" s="2">
        <v>0.5</v>
      </c>
      <c r="J8" s="11">
        <v>50.25</v>
      </c>
      <c r="K8" s="11">
        <f>J8/2</f>
        <v>25.125</v>
      </c>
    </row>
    <row r="9" spans="1:11" x14ac:dyDescent="0.25">
      <c r="A9" s="51" t="s">
        <v>18</v>
      </c>
      <c r="B9" s="2">
        <v>0.5</v>
      </c>
      <c r="C9" s="2">
        <v>0.5</v>
      </c>
      <c r="D9" s="11">
        <v>8.8000000000000007</v>
      </c>
      <c r="E9" s="11">
        <f t="shared" si="1"/>
        <v>4.4000000000000004</v>
      </c>
      <c r="G9" s="51" t="s">
        <v>9</v>
      </c>
      <c r="H9" s="2">
        <v>1</v>
      </c>
      <c r="I9" s="2">
        <v>1</v>
      </c>
      <c r="J9" s="11">
        <v>30.75</v>
      </c>
      <c r="K9" s="11">
        <v>0</v>
      </c>
    </row>
    <row r="10" spans="1:11" x14ac:dyDescent="0.25">
      <c r="A10" s="51" t="s">
        <v>19</v>
      </c>
      <c r="B10" s="2">
        <v>0.5</v>
      </c>
      <c r="C10" s="2">
        <v>0.5</v>
      </c>
      <c r="D10" s="11">
        <v>4.45</v>
      </c>
      <c r="E10" s="11">
        <f t="shared" si="1"/>
        <v>2.2250000000000001</v>
      </c>
      <c r="G10" s="51" t="s">
        <v>29</v>
      </c>
      <c r="H10" s="2">
        <v>0.75</v>
      </c>
      <c r="I10" s="2">
        <v>0.56999999999999995</v>
      </c>
      <c r="J10" s="11">
        <v>275</v>
      </c>
      <c r="K10" s="11">
        <v>68.75</v>
      </c>
    </row>
    <row r="11" spans="1:11" x14ac:dyDescent="0.25">
      <c r="A11" s="51" t="s">
        <v>20</v>
      </c>
      <c r="B11" s="2">
        <v>0.5</v>
      </c>
      <c r="C11" s="2">
        <v>0.5</v>
      </c>
      <c r="D11" s="11">
        <v>5.55</v>
      </c>
      <c r="E11" s="11">
        <f t="shared" si="1"/>
        <v>2.7749999999999999</v>
      </c>
      <c r="G11" s="51" t="s">
        <v>6</v>
      </c>
      <c r="H11" s="2">
        <v>1</v>
      </c>
      <c r="I11" s="2">
        <v>1</v>
      </c>
      <c r="J11" s="12" t="s">
        <v>76</v>
      </c>
      <c r="K11" s="12" t="s">
        <v>76</v>
      </c>
    </row>
    <row r="12" spans="1:11" x14ac:dyDescent="0.25">
      <c r="A12" s="51" t="s">
        <v>21</v>
      </c>
      <c r="B12" s="2">
        <v>0.5</v>
      </c>
      <c r="C12" s="2">
        <v>0</v>
      </c>
      <c r="D12" s="11">
        <v>16.75</v>
      </c>
      <c r="E12" s="11">
        <f>D12/2</f>
        <v>8.375</v>
      </c>
      <c r="G12" s="51" t="s">
        <v>5</v>
      </c>
      <c r="H12" s="2">
        <v>0.5</v>
      </c>
      <c r="I12" s="2">
        <v>0.5</v>
      </c>
      <c r="J12" s="12" t="s">
        <v>76</v>
      </c>
      <c r="K12" s="12" t="s">
        <v>76</v>
      </c>
    </row>
    <row r="13" spans="1:11" x14ac:dyDescent="0.25">
      <c r="A13" s="51" t="s">
        <v>22</v>
      </c>
      <c r="B13" s="2">
        <v>0.5</v>
      </c>
      <c r="C13" s="2">
        <v>0</v>
      </c>
      <c r="D13" s="11">
        <v>16.75</v>
      </c>
      <c r="E13" s="11">
        <f t="shared" si="1"/>
        <v>8.375</v>
      </c>
      <c r="G13" s="51" t="s">
        <v>30</v>
      </c>
      <c r="H13" s="2">
        <v>0.5</v>
      </c>
      <c r="I13" s="2">
        <v>0.5</v>
      </c>
      <c r="J13" s="12" t="s">
        <v>76</v>
      </c>
      <c r="K13" s="12" t="s">
        <v>76</v>
      </c>
    </row>
    <row r="14" spans="1:11" x14ac:dyDescent="0.25">
      <c r="A14" s="51" t="s">
        <v>23</v>
      </c>
      <c r="B14" s="2">
        <v>0.5</v>
      </c>
      <c r="C14" s="2">
        <v>0.5</v>
      </c>
      <c r="D14" s="11">
        <v>32.75</v>
      </c>
      <c r="E14" s="11">
        <f t="shared" si="1"/>
        <v>16.375</v>
      </c>
      <c r="G14" s="51" t="s">
        <v>31</v>
      </c>
      <c r="H14" s="2">
        <v>0.65</v>
      </c>
      <c r="I14" s="2">
        <v>0.65</v>
      </c>
      <c r="J14" s="11">
        <v>6.45</v>
      </c>
      <c r="K14" s="11">
        <v>2.2599999999999998</v>
      </c>
    </row>
    <row r="15" spans="1:11" x14ac:dyDescent="0.25">
      <c r="A15" s="51" t="s">
        <v>24</v>
      </c>
      <c r="B15" s="2">
        <v>0.5</v>
      </c>
      <c r="C15" s="2">
        <v>0.5</v>
      </c>
      <c r="D15" s="11">
        <v>50.25</v>
      </c>
      <c r="E15" s="11">
        <f t="shared" si="1"/>
        <v>25.125</v>
      </c>
      <c r="G15" s="51" t="s">
        <v>32</v>
      </c>
      <c r="H15" s="2">
        <v>0.65</v>
      </c>
      <c r="I15" s="2">
        <v>0.65</v>
      </c>
      <c r="J15" s="11">
        <v>6.6</v>
      </c>
      <c r="K15" s="11">
        <v>2.31</v>
      </c>
    </row>
    <row r="16" spans="1:11" x14ac:dyDescent="0.25">
      <c r="A16" s="51" t="s">
        <v>25</v>
      </c>
      <c r="B16" s="2">
        <v>0.5</v>
      </c>
      <c r="C16" s="2">
        <v>0.5</v>
      </c>
      <c r="D16" s="11">
        <v>30.75</v>
      </c>
      <c r="E16" s="11">
        <f t="shared" si="1"/>
        <v>15.375</v>
      </c>
      <c r="G16" s="51" t="s">
        <v>33</v>
      </c>
      <c r="H16" s="2">
        <v>0.65</v>
      </c>
      <c r="I16" s="2">
        <v>0.65</v>
      </c>
      <c r="J16" s="11">
        <v>8.8000000000000007</v>
      </c>
      <c r="K16" s="11">
        <v>3.08</v>
      </c>
    </row>
    <row r="17" spans="1:11" x14ac:dyDescent="0.25">
      <c r="A17" s="51" t="s">
        <v>8</v>
      </c>
      <c r="B17" s="2">
        <v>1</v>
      </c>
      <c r="C17" s="2">
        <v>1</v>
      </c>
      <c r="D17" s="11">
        <v>1.05</v>
      </c>
      <c r="E17" s="12">
        <v>0</v>
      </c>
      <c r="G17" s="51" t="s">
        <v>34</v>
      </c>
      <c r="H17" s="2">
        <v>0.65</v>
      </c>
      <c r="I17" s="2">
        <v>0.5</v>
      </c>
      <c r="J17" s="11">
        <v>4.45</v>
      </c>
      <c r="K17" s="11">
        <v>1.56</v>
      </c>
    </row>
    <row r="18" spans="1:11" x14ac:dyDescent="0.25">
      <c r="A18" s="51" t="s">
        <v>26</v>
      </c>
      <c r="B18" s="2">
        <v>0.45</v>
      </c>
      <c r="C18" s="2">
        <v>0.45</v>
      </c>
      <c r="D18" s="11">
        <v>1.05</v>
      </c>
      <c r="E18" s="12">
        <v>0.57999999999999996</v>
      </c>
      <c r="G18" s="51" t="s">
        <v>35</v>
      </c>
      <c r="H18" s="2">
        <v>0.65</v>
      </c>
      <c r="I18" s="2">
        <v>0.5</v>
      </c>
      <c r="J18" s="11">
        <v>5.55</v>
      </c>
      <c r="K18" s="11">
        <v>1.94</v>
      </c>
    </row>
    <row r="19" spans="1:11" x14ac:dyDescent="0.25">
      <c r="A19" s="51" t="s">
        <v>14</v>
      </c>
      <c r="B19" s="2">
        <v>0.25</v>
      </c>
      <c r="C19" s="2">
        <v>0.25</v>
      </c>
      <c r="D19" s="12" t="s">
        <v>76</v>
      </c>
      <c r="E19" s="12" t="s">
        <v>76</v>
      </c>
      <c r="G19" s="51" t="s">
        <v>36</v>
      </c>
      <c r="H19" s="2">
        <v>0.65</v>
      </c>
      <c r="I19" s="2">
        <v>0</v>
      </c>
      <c r="J19" s="11">
        <v>16.75</v>
      </c>
      <c r="K19" s="11">
        <v>5.86</v>
      </c>
    </row>
    <row r="20" spans="1:11" x14ac:dyDescent="0.25">
      <c r="A20" s="51" t="s">
        <v>27</v>
      </c>
      <c r="B20" s="2">
        <v>0.5</v>
      </c>
      <c r="C20" s="2">
        <v>0.5</v>
      </c>
      <c r="D20" s="11">
        <v>6.95</v>
      </c>
      <c r="E20" s="11">
        <f>D20/2</f>
        <v>3.4750000000000001</v>
      </c>
      <c r="G20" s="51" t="s">
        <v>37</v>
      </c>
      <c r="H20" s="2">
        <v>0.65</v>
      </c>
      <c r="I20" s="2">
        <v>0</v>
      </c>
      <c r="J20" s="11">
        <v>16.75</v>
      </c>
      <c r="K20" s="11">
        <v>5.86</v>
      </c>
    </row>
    <row r="21" spans="1:11" x14ac:dyDescent="0.25">
      <c r="A21" s="51" t="s">
        <v>28</v>
      </c>
      <c r="B21" s="2">
        <v>0.5</v>
      </c>
      <c r="C21" s="2">
        <v>0.5</v>
      </c>
      <c r="D21" s="12" t="s">
        <v>76</v>
      </c>
      <c r="E21" s="12" t="s">
        <v>76</v>
      </c>
      <c r="G21" s="51" t="s">
        <v>38</v>
      </c>
      <c r="H21" s="2">
        <v>0.5</v>
      </c>
      <c r="I21" s="2">
        <v>0.5</v>
      </c>
      <c r="J21" s="11">
        <v>25.5</v>
      </c>
      <c r="K21" s="11">
        <v>12.75</v>
      </c>
    </row>
    <row r="22" spans="1:11" x14ac:dyDescent="0.25">
      <c r="A22" s="48"/>
      <c r="B22" s="49"/>
      <c r="C22" s="49"/>
      <c r="D22" s="50"/>
      <c r="G22" s="51" t="s">
        <v>14</v>
      </c>
      <c r="H22" s="2">
        <v>0.3</v>
      </c>
      <c r="I22" s="2">
        <v>0.25</v>
      </c>
      <c r="J22" s="12" t="s">
        <v>76</v>
      </c>
      <c r="K22" s="11" t="s">
        <v>76</v>
      </c>
    </row>
    <row r="23" spans="1:11" x14ac:dyDescent="0.25">
      <c r="A23" s="48"/>
      <c r="B23" s="49"/>
      <c r="C23" s="49"/>
      <c r="D23" s="50"/>
      <c r="G23" s="51" t="s">
        <v>39</v>
      </c>
      <c r="H23" s="2">
        <v>1</v>
      </c>
      <c r="I23" s="2">
        <v>1</v>
      </c>
      <c r="J23" s="11">
        <v>1.1499999999999999</v>
      </c>
      <c r="K23" s="11">
        <f t="shared" ref="K23" si="2">J23*H23-J23</f>
        <v>0</v>
      </c>
    </row>
    <row r="24" spans="1:11" x14ac:dyDescent="0.25">
      <c r="A24" s="61" t="s">
        <v>79</v>
      </c>
      <c r="B24" s="62"/>
      <c r="C24" s="62"/>
      <c r="D24" s="62"/>
      <c r="E24" s="63"/>
      <c r="G24" s="51" t="s">
        <v>40</v>
      </c>
      <c r="H24" s="2">
        <v>0.5</v>
      </c>
      <c r="I24" s="2">
        <v>0</v>
      </c>
      <c r="J24" s="11">
        <v>7.1</v>
      </c>
      <c r="K24" s="11">
        <v>3.55</v>
      </c>
    </row>
    <row r="25" spans="1:11" x14ac:dyDescent="0.25">
      <c r="A25" s="52" t="s">
        <v>80</v>
      </c>
      <c r="B25" s="53"/>
      <c r="C25" s="53"/>
      <c r="D25" s="53"/>
      <c r="E25" s="54"/>
      <c r="G25" s="51" t="s">
        <v>41</v>
      </c>
      <c r="H25" s="2">
        <v>0.5</v>
      </c>
      <c r="I25" s="2">
        <v>0.5</v>
      </c>
      <c r="J25" s="11">
        <v>6.6</v>
      </c>
      <c r="K25" s="11">
        <v>3.3</v>
      </c>
    </row>
    <row r="26" spans="1:11" x14ac:dyDescent="0.25">
      <c r="A26" s="55"/>
      <c r="B26" s="56"/>
      <c r="C26" s="56"/>
      <c r="D26" s="56"/>
      <c r="E26" s="57"/>
      <c r="G26" s="51" t="s">
        <v>42</v>
      </c>
      <c r="H26" s="2">
        <v>0.5</v>
      </c>
      <c r="I26" s="2">
        <v>0.5</v>
      </c>
      <c r="J26" s="11">
        <v>8.8000000000000007</v>
      </c>
      <c r="K26" s="11">
        <v>4.4000000000000004</v>
      </c>
    </row>
    <row r="27" spans="1:11" x14ac:dyDescent="0.25">
      <c r="A27" s="55"/>
      <c r="B27" s="56"/>
      <c r="C27" s="56"/>
      <c r="D27" s="56"/>
      <c r="E27" s="57"/>
    </row>
    <row r="28" spans="1:11" x14ac:dyDescent="0.25">
      <c r="A28" s="55"/>
      <c r="B28" s="56"/>
      <c r="C28" s="56"/>
      <c r="D28" s="56"/>
      <c r="E28" s="57"/>
    </row>
    <row r="29" spans="1:11" x14ac:dyDescent="0.25">
      <c r="A29" s="58"/>
      <c r="B29" s="59"/>
      <c r="C29" s="59"/>
      <c r="D29" s="59"/>
      <c r="E29" s="60"/>
    </row>
    <row r="31" spans="1:11" x14ac:dyDescent="0.25">
      <c r="A31" s="64" t="s">
        <v>81</v>
      </c>
      <c r="B31" s="62"/>
      <c r="C31" s="62"/>
      <c r="D31" s="62"/>
      <c r="E31" s="63"/>
    </row>
    <row r="32" spans="1:11" x14ac:dyDescent="0.25">
      <c r="A32" s="66" t="s">
        <v>82</v>
      </c>
      <c r="B32" s="65"/>
      <c r="C32" s="65"/>
      <c r="D32" s="65"/>
      <c r="E32" s="67"/>
    </row>
    <row r="33" spans="1:5" x14ac:dyDescent="0.25">
      <c r="A33" s="68"/>
      <c r="B33" s="69"/>
      <c r="C33" s="69"/>
      <c r="D33" s="69"/>
      <c r="E33" s="70"/>
    </row>
    <row r="34" spans="1:5" x14ac:dyDescent="0.25">
      <c r="A34" s="68"/>
      <c r="B34" s="69"/>
      <c r="C34" s="69"/>
      <c r="D34" s="69"/>
      <c r="E34" s="70"/>
    </row>
    <row r="35" spans="1:5" x14ac:dyDescent="0.25">
      <c r="A35" s="68"/>
      <c r="B35" s="69"/>
      <c r="C35" s="69"/>
      <c r="D35" s="69"/>
      <c r="E35" s="70"/>
    </row>
    <row r="36" spans="1:5" x14ac:dyDescent="0.25">
      <c r="A36" s="71"/>
      <c r="B36" s="72"/>
      <c r="C36" s="72"/>
      <c r="D36" s="72"/>
      <c r="E36" s="73"/>
    </row>
  </sheetData>
  <mergeCells count="4">
    <mergeCell ref="A25:E29"/>
    <mergeCell ref="A24:E24"/>
    <mergeCell ref="A31:E31"/>
    <mergeCell ref="A32:E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80B50-7DAC-48DF-A2B3-88E1910172E3}">
  <dimension ref="A1:O19"/>
  <sheetViews>
    <sheetView workbookViewId="0">
      <selection activeCell="I22" sqref="I22"/>
    </sheetView>
  </sheetViews>
  <sheetFormatPr defaultRowHeight="15" x14ac:dyDescent="0.25"/>
  <cols>
    <col min="1" max="1" width="16" customWidth="1"/>
    <col min="2" max="2" width="3.140625" style="5" customWidth="1"/>
    <col min="3" max="3" width="16.140625" customWidth="1"/>
    <col min="4" max="4" width="15.85546875" style="5" customWidth="1"/>
    <col min="5" max="5" width="17.42578125" style="5" customWidth="1"/>
    <col min="6" max="6" width="17.140625" style="5" customWidth="1"/>
    <col min="7" max="7" width="12.28515625" style="5" customWidth="1"/>
    <col min="8" max="8" width="2.28515625" customWidth="1"/>
    <col min="9" max="9" width="14.7109375" customWidth="1"/>
    <col min="10" max="10" width="3.5703125" customWidth="1"/>
    <col min="11" max="11" width="17.7109375" customWidth="1"/>
    <col min="12" max="12" width="15.5703125" customWidth="1"/>
    <col min="13" max="13" width="17.42578125" customWidth="1"/>
    <col min="14" max="14" width="16.140625" customWidth="1"/>
    <col min="15" max="15" width="14.5703125" customWidth="1"/>
  </cols>
  <sheetData>
    <row r="1" spans="1:15" ht="31.5" customHeight="1" x14ac:dyDescent="0.25">
      <c r="A1" s="40" t="s">
        <v>70</v>
      </c>
      <c r="B1" s="40"/>
      <c r="C1" s="40"/>
      <c r="D1" s="40"/>
      <c r="E1" s="40"/>
      <c r="F1" s="40"/>
      <c r="G1" s="40"/>
      <c r="H1" s="40"/>
      <c r="I1" s="40"/>
      <c r="J1" s="40"/>
      <c r="K1" s="40"/>
      <c r="L1" s="40"/>
      <c r="M1" s="40"/>
      <c r="N1" s="40"/>
      <c r="O1" s="40"/>
    </row>
    <row r="2" spans="1:15" s="42" customFormat="1" ht="31.5" customHeight="1" x14ac:dyDescent="0.25">
      <c r="A2" s="41"/>
      <c r="B2" s="41"/>
      <c r="C2" s="41"/>
      <c r="D2" s="41"/>
      <c r="E2" s="41"/>
      <c r="F2" s="41"/>
      <c r="G2" s="41"/>
      <c r="H2" s="41"/>
      <c r="I2" s="41"/>
      <c r="J2" s="41"/>
      <c r="K2" s="41"/>
      <c r="L2" s="41"/>
      <c r="M2" s="41"/>
      <c r="N2" s="41"/>
      <c r="O2" s="41"/>
    </row>
    <row r="3" spans="1:15" x14ac:dyDescent="0.25">
      <c r="A3" s="43" t="s">
        <v>71</v>
      </c>
      <c r="B3" s="43"/>
      <c r="C3" s="43"/>
      <c r="D3" s="43"/>
      <c r="E3" s="43"/>
      <c r="F3" s="43"/>
      <c r="G3" s="43"/>
      <c r="I3" s="43" t="s">
        <v>72</v>
      </c>
      <c r="J3" s="43"/>
      <c r="K3" s="43"/>
      <c r="L3" s="43"/>
      <c r="M3" s="43"/>
      <c r="N3" s="43"/>
      <c r="O3" s="43"/>
    </row>
    <row r="4" spans="1:15" s="4" customFormat="1" ht="30.75" customHeight="1" x14ac:dyDescent="0.25">
      <c r="A4" s="9" t="s">
        <v>47</v>
      </c>
      <c r="B4" s="9"/>
      <c r="C4" s="9"/>
      <c r="D4" s="10" t="s">
        <v>48</v>
      </c>
      <c r="E4" s="10" t="s">
        <v>49</v>
      </c>
      <c r="F4" s="10" t="s">
        <v>50</v>
      </c>
      <c r="G4" s="10" t="s">
        <v>51</v>
      </c>
      <c r="I4" s="9" t="s">
        <v>47</v>
      </c>
      <c r="J4" s="9"/>
      <c r="K4" s="9"/>
      <c r="L4" s="10" t="s">
        <v>48</v>
      </c>
      <c r="M4" s="10" t="s">
        <v>49</v>
      </c>
      <c r="N4" s="10" t="s">
        <v>50</v>
      </c>
      <c r="O4" s="10" t="s">
        <v>51</v>
      </c>
    </row>
    <row r="5" spans="1:15" x14ac:dyDescent="0.25">
      <c r="A5" s="6">
        <v>5000000</v>
      </c>
      <c r="B5" s="17" t="s">
        <v>44</v>
      </c>
      <c r="C5" s="11">
        <v>6999999.9900000002</v>
      </c>
      <c r="D5" s="7">
        <v>0.15</v>
      </c>
      <c r="E5" s="8">
        <v>5.0000000000000001E-3</v>
      </c>
      <c r="F5" s="8">
        <v>0.04</v>
      </c>
      <c r="G5" s="7">
        <v>0.1</v>
      </c>
      <c r="I5" s="6">
        <v>0</v>
      </c>
      <c r="J5" s="17" t="s">
        <v>44</v>
      </c>
      <c r="K5" s="11">
        <v>4499999.99</v>
      </c>
      <c r="L5" s="7">
        <v>0</v>
      </c>
      <c r="M5" s="8">
        <v>0</v>
      </c>
      <c r="N5" s="8">
        <v>0</v>
      </c>
      <c r="O5" s="7">
        <v>0</v>
      </c>
    </row>
    <row r="6" spans="1:15" x14ac:dyDescent="0.25">
      <c r="A6" s="13">
        <v>7000000</v>
      </c>
      <c r="B6" s="22" t="s">
        <v>44</v>
      </c>
      <c r="C6" s="14">
        <v>10999999.99</v>
      </c>
      <c r="D6" s="15">
        <v>0.17</v>
      </c>
      <c r="E6" s="16">
        <v>0.01</v>
      </c>
      <c r="F6" s="16">
        <v>4.4999999999999998E-2</v>
      </c>
      <c r="G6" s="15">
        <v>0.11</v>
      </c>
      <c r="I6" s="31">
        <v>4500000</v>
      </c>
      <c r="J6" s="32" t="s">
        <v>44</v>
      </c>
      <c r="K6" s="33">
        <v>6499999.9900000002</v>
      </c>
      <c r="L6" s="34">
        <v>0.16</v>
      </c>
      <c r="M6" s="35">
        <v>5.0000000000000001E-3</v>
      </c>
      <c r="N6" s="35">
        <v>0.04</v>
      </c>
      <c r="O6" s="34">
        <v>0.1</v>
      </c>
    </row>
    <row r="7" spans="1:15" x14ac:dyDescent="0.25">
      <c r="A7" s="6">
        <v>11000000</v>
      </c>
      <c r="B7" s="17" t="s">
        <v>45</v>
      </c>
      <c r="C7" s="11">
        <v>15999999.99</v>
      </c>
      <c r="D7" s="7">
        <v>0.18</v>
      </c>
      <c r="E7" s="8">
        <v>0.02</v>
      </c>
      <c r="F7" s="8">
        <v>0.05</v>
      </c>
      <c r="G7" s="7">
        <v>0.12</v>
      </c>
      <c r="I7" s="13">
        <v>6500000</v>
      </c>
      <c r="J7" s="22" t="s">
        <v>45</v>
      </c>
      <c r="K7" s="14">
        <v>9499999.9900000002</v>
      </c>
      <c r="L7" s="15">
        <v>0.18</v>
      </c>
      <c r="M7" s="16">
        <v>0.01</v>
      </c>
      <c r="N7" s="16">
        <v>4.4999999999999998E-2</v>
      </c>
      <c r="O7" s="15">
        <v>0.11</v>
      </c>
    </row>
    <row r="8" spans="1:15" x14ac:dyDescent="0.25">
      <c r="A8" s="6">
        <v>16000000</v>
      </c>
      <c r="B8" s="17" t="s">
        <v>44</v>
      </c>
      <c r="C8" s="11">
        <v>24999999.989999998</v>
      </c>
      <c r="D8" s="7">
        <v>0.19</v>
      </c>
      <c r="E8" s="8">
        <v>0.03</v>
      </c>
      <c r="F8" s="8">
        <v>5.5E-2</v>
      </c>
      <c r="G8" s="7">
        <v>0.12</v>
      </c>
      <c r="I8" s="6">
        <v>9500000</v>
      </c>
      <c r="J8" s="17" t="s">
        <v>44</v>
      </c>
      <c r="K8" s="11">
        <v>12499999.99</v>
      </c>
      <c r="L8" s="7">
        <v>0.19</v>
      </c>
      <c r="M8" s="8">
        <v>0.02</v>
      </c>
      <c r="N8" s="8">
        <v>0.05</v>
      </c>
      <c r="O8" s="7">
        <v>0.12</v>
      </c>
    </row>
    <row r="9" spans="1:15" x14ac:dyDescent="0.25">
      <c r="A9" s="6">
        <v>25000000</v>
      </c>
      <c r="B9" s="17" t="s">
        <v>44</v>
      </c>
      <c r="C9" s="12" t="s">
        <v>46</v>
      </c>
      <c r="D9" s="7">
        <v>0.2</v>
      </c>
      <c r="E9" s="8">
        <v>0.04</v>
      </c>
      <c r="F9" s="8">
        <v>0.06</v>
      </c>
      <c r="G9" s="7">
        <v>0.12</v>
      </c>
      <c r="I9" s="6">
        <v>12500000</v>
      </c>
      <c r="J9" s="17" t="s">
        <v>44</v>
      </c>
      <c r="K9" s="11">
        <v>15499999.99</v>
      </c>
      <c r="L9" s="7">
        <v>0.2</v>
      </c>
      <c r="M9" s="8">
        <v>0.03</v>
      </c>
      <c r="N9" s="8">
        <v>5.5E-2</v>
      </c>
      <c r="O9" s="7">
        <v>0.12</v>
      </c>
    </row>
    <row r="10" spans="1:15" x14ac:dyDescent="0.25">
      <c r="I10" s="6">
        <v>15500000</v>
      </c>
      <c r="J10" s="26" t="s">
        <v>44</v>
      </c>
      <c r="K10" s="11">
        <v>24499999.989999998</v>
      </c>
      <c r="L10" s="8">
        <v>0.20499999999999999</v>
      </c>
      <c r="M10" s="29">
        <v>3.5000000000000003E-2</v>
      </c>
      <c r="N10" s="29">
        <v>5.7500000000000002E-2</v>
      </c>
      <c r="O10" s="7">
        <v>0.12</v>
      </c>
    </row>
    <row r="11" spans="1:15" s="24" customFormat="1" x14ac:dyDescent="0.25">
      <c r="G11" s="25"/>
      <c r="I11" s="27">
        <v>24500000</v>
      </c>
      <c r="J11" s="28" t="s">
        <v>44</v>
      </c>
      <c r="K11" s="28" t="s">
        <v>46</v>
      </c>
      <c r="L11" s="30">
        <v>0.21</v>
      </c>
      <c r="M11" s="30">
        <v>0.04</v>
      </c>
      <c r="N11" s="30">
        <v>0.06</v>
      </c>
      <c r="O11" s="30">
        <v>0.12</v>
      </c>
    </row>
    <row r="12" spans="1:15" s="24" customFormat="1" x14ac:dyDescent="0.25">
      <c r="G12" s="25"/>
      <c r="I12" s="44"/>
      <c r="J12" s="45"/>
      <c r="K12" s="45"/>
      <c r="L12" s="46"/>
      <c r="M12" s="46"/>
      <c r="N12" s="46"/>
      <c r="O12" s="46"/>
    </row>
    <row r="13" spans="1:15" x14ac:dyDescent="0.25">
      <c r="A13" s="43" t="s">
        <v>73</v>
      </c>
      <c r="B13" s="43"/>
      <c r="C13" s="43"/>
      <c r="D13" s="43"/>
      <c r="E13" s="43"/>
      <c r="F13" s="43"/>
      <c r="I13" s="47" t="s">
        <v>74</v>
      </c>
      <c r="J13" s="47"/>
      <c r="K13" s="47"/>
      <c r="L13" s="47"/>
      <c r="M13" s="47"/>
      <c r="N13" s="47"/>
    </row>
    <row r="14" spans="1:15" s="3" customFormat="1" ht="27.75" customHeight="1" x14ac:dyDescent="0.25">
      <c r="A14" s="21" t="s">
        <v>60</v>
      </c>
      <c r="B14" s="21"/>
      <c r="C14" s="21"/>
      <c r="D14" s="10" t="s">
        <v>61</v>
      </c>
      <c r="E14" s="10" t="s">
        <v>62</v>
      </c>
      <c r="F14" s="10" t="s">
        <v>63</v>
      </c>
      <c r="G14" s="4"/>
      <c r="I14" s="21" t="s">
        <v>60</v>
      </c>
      <c r="J14" s="21"/>
      <c r="K14" s="21"/>
      <c r="L14" s="10" t="s">
        <v>61</v>
      </c>
      <c r="M14" s="10" t="s">
        <v>62</v>
      </c>
      <c r="N14" s="10" t="s">
        <v>63</v>
      </c>
    </row>
    <row r="15" spans="1:15" x14ac:dyDescent="0.25">
      <c r="A15" s="18" t="s">
        <v>52</v>
      </c>
      <c r="B15" s="23" t="s">
        <v>44</v>
      </c>
      <c r="C15" s="19" t="s">
        <v>53</v>
      </c>
      <c r="D15" s="7">
        <v>0.35</v>
      </c>
      <c r="E15" s="7">
        <v>0.17</v>
      </c>
      <c r="F15" s="7">
        <f>D15+E15</f>
        <v>0.52</v>
      </c>
      <c r="I15" s="18" t="s">
        <v>52</v>
      </c>
      <c r="J15" s="23" t="s">
        <v>44</v>
      </c>
      <c r="K15" s="19" t="s">
        <v>54</v>
      </c>
      <c r="L15" s="7">
        <v>0.43</v>
      </c>
      <c r="M15" s="7">
        <v>0.18</v>
      </c>
      <c r="N15" s="7">
        <f>L15+M15</f>
        <v>0.61</v>
      </c>
    </row>
    <row r="16" spans="1:15" x14ac:dyDescent="0.25">
      <c r="A16" s="20" t="s">
        <v>57</v>
      </c>
      <c r="B16" s="23" t="s">
        <v>44</v>
      </c>
      <c r="C16" s="19" t="s">
        <v>54</v>
      </c>
      <c r="D16" s="7">
        <v>0.36</v>
      </c>
      <c r="E16" s="7">
        <v>0.17</v>
      </c>
      <c r="F16" s="7">
        <f t="shared" ref="F16:F19" si="0">D16+E16</f>
        <v>0.53</v>
      </c>
      <c r="I16" s="20" t="s">
        <v>58</v>
      </c>
      <c r="J16" s="23" t="s">
        <v>44</v>
      </c>
      <c r="K16" s="19" t="s">
        <v>64</v>
      </c>
      <c r="L16" s="7">
        <v>0.46</v>
      </c>
      <c r="M16" s="7">
        <v>0.18</v>
      </c>
      <c r="N16" s="7">
        <f t="shared" ref="N16:N18" si="1">L16+M16</f>
        <v>0.64</v>
      </c>
    </row>
    <row r="17" spans="1:14" x14ac:dyDescent="0.25">
      <c r="A17" s="20" t="s">
        <v>58</v>
      </c>
      <c r="B17" s="23" t="s">
        <v>44</v>
      </c>
      <c r="C17" s="19" t="s">
        <v>64</v>
      </c>
      <c r="D17" s="7">
        <v>0.41</v>
      </c>
      <c r="E17" s="7">
        <v>0.17</v>
      </c>
      <c r="F17" s="7">
        <f t="shared" si="0"/>
        <v>0.57999999999999996</v>
      </c>
      <c r="I17" s="20" t="s">
        <v>66</v>
      </c>
      <c r="J17" s="23" t="s">
        <v>44</v>
      </c>
      <c r="K17" s="19" t="s">
        <v>67</v>
      </c>
      <c r="L17" s="7">
        <v>0.5</v>
      </c>
      <c r="M17" s="7">
        <v>0.18</v>
      </c>
      <c r="N17" s="7">
        <f t="shared" si="1"/>
        <v>0.67999999999999994</v>
      </c>
    </row>
    <row r="18" spans="1:14" x14ac:dyDescent="0.25">
      <c r="A18" s="20" t="s">
        <v>59</v>
      </c>
      <c r="B18" s="23" t="s">
        <v>44</v>
      </c>
      <c r="C18" s="19" t="s">
        <v>65</v>
      </c>
      <c r="D18" s="7">
        <v>0.43</v>
      </c>
      <c r="E18" s="7">
        <v>0.17</v>
      </c>
      <c r="F18" s="7">
        <f t="shared" si="0"/>
        <v>0.6</v>
      </c>
      <c r="I18" s="20" t="s">
        <v>68</v>
      </c>
      <c r="J18" s="23" t="s">
        <v>44</v>
      </c>
      <c r="K18" s="19" t="s">
        <v>69</v>
      </c>
      <c r="L18" s="7">
        <v>0.55000000000000004</v>
      </c>
      <c r="M18" s="7">
        <v>0.18</v>
      </c>
      <c r="N18" s="7">
        <f t="shared" si="1"/>
        <v>0.73</v>
      </c>
    </row>
    <row r="19" spans="1:14" x14ac:dyDescent="0.25">
      <c r="A19" s="20" t="s">
        <v>55</v>
      </c>
      <c r="B19" s="23" t="s">
        <v>45</v>
      </c>
      <c r="C19" s="19" t="s">
        <v>56</v>
      </c>
      <c r="D19" s="7">
        <v>0.46</v>
      </c>
      <c r="E19" s="7">
        <v>0.17</v>
      </c>
      <c r="F19" s="7">
        <f t="shared" si="0"/>
        <v>0.63</v>
      </c>
      <c r="I19" s="36"/>
      <c r="J19" s="37"/>
      <c r="K19" s="38"/>
      <c r="L19" s="39"/>
      <c r="M19" s="39"/>
      <c r="N19" s="39"/>
    </row>
  </sheetData>
  <mergeCells count="9">
    <mergeCell ref="A4:C4"/>
    <mergeCell ref="A14:C14"/>
    <mergeCell ref="I4:K4"/>
    <mergeCell ref="I14:K14"/>
    <mergeCell ref="A1:O1"/>
    <mergeCell ref="A3:G3"/>
    <mergeCell ref="I3:O3"/>
    <mergeCell ref="A13:F13"/>
    <mergeCell ref="I13:N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Surcharge Table</vt:lpstr>
      <vt:lpstr>Discount Comparison</vt:lpstr>
    </vt:vector>
  </TitlesOfParts>
  <Company>FedEx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Travis Knight</dc:creator>
  <cp:lastModifiedBy>Travis Knight</cp:lastModifiedBy>
  <dcterms:created xsi:type="dcterms:W3CDTF">2026-02-09T21:04:05Z</dcterms:created>
  <dcterms:modified xsi:type="dcterms:W3CDTF">2026-02-10T00:31:45Z</dcterms:modified>
</cp:coreProperties>
</file>